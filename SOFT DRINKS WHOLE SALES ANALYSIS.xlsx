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hidePivotFieldList="1"/>
  <mc:AlternateContent xmlns:mc="http://schemas.openxmlformats.org/markup-compatibility/2006">
    <mc:Choice Requires="x15">
      <x15ac:absPath xmlns:x15ac="http://schemas.microsoft.com/office/spreadsheetml/2010/11/ac" url="C:\Users\User\Documents\"/>
    </mc:Choice>
  </mc:AlternateContent>
  <xr:revisionPtr revIDLastSave="0" documentId="13_ncr:1_{DE12B094-116B-4135-A5D4-B44346C845B8}" xr6:coauthVersionLast="47" xr6:coauthVersionMax="47" xr10:uidLastSave="{00000000-0000-0000-0000-000000000000}"/>
  <bookViews>
    <workbookView xWindow="-120" yWindow="-120" windowWidth="20730" windowHeight="11160" activeTab="1" xr2:uid="{00000000-000D-0000-FFFF-FFFF00000000}"/>
  </bookViews>
  <sheets>
    <sheet name="PIVOT TABLE" sheetId="3" r:id="rId1"/>
    <sheet name="DASHBOARD" sheetId="4" r:id="rId2"/>
    <sheet name="DATASET" sheetId="2" r:id="rId3"/>
  </sheets>
  <definedNames>
    <definedName name="NativeTimeline_ORDER_DATE">#N/A</definedName>
    <definedName name="Slicer_Custormer_type">#N/A</definedName>
    <definedName name="Slicer_ORDER_DATE">#N/A</definedName>
    <definedName name="Slicer_Payment_Method">#N/A</definedName>
    <definedName name="Slicer_Sales_Rep">#N/A</definedName>
    <definedName name="Slicer_St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9" i="2" l="1"/>
  <c r="D31" i="3" l="1"/>
  <c r="G43" i="3"/>
  <c r="D32" i="3"/>
  <c r="O2" i="2" l="1"/>
  <c r="P2" i="2" s="1"/>
  <c r="O3" i="2"/>
  <c r="P3" i="2" s="1"/>
  <c r="O4" i="2"/>
  <c r="P4" i="2" s="1"/>
  <c r="O5" i="2"/>
  <c r="P5" i="2" s="1"/>
  <c r="O6" i="2"/>
  <c r="P6" i="2" s="1"/>
  <c r="O7" i="2"/>
  <c r="P7" i="2" s="1"/>
  <c r="O8" i="2"/>
  <c r="P8" i="2" s="1"/>
  <c r="O9" i="2"/>
  <c r="P9" i="2" s="1"/>
  <c r="O10" i="2"/>
  <c r="P10" i="2" s="1"/>
  <c r="O11" i="2"/>
  <c r="P11" i="2" s="1"/>
  <c r="O12" i="2"/>
  <c r="P12" i="2" s="1"/>
  <c r="O13" i="2"/>
  <c r="P13" i="2" s="1"/>
  <c r="O14" i="2"/>
  <c r="P14" i="2" s="1"/>
  <c r="O15" i="2"/>
  <c r="P15" i="2" s="1"/>
  <c r="O16" i="2"/>
  <c r="P16" i="2" s="1"/>
  <c r="O17" i="2"/>
  <c r="P17" i="2" s="1"/>
  <c r="O18" i="2"/>
  <c r="P18" i="2" s="1"/>
  <c r="O19" i="2"/>
  <c r="P19" i="2" s="1"/>
  <c r="O20" i="2"/>
  <c r="P20" i="2" s="1"/>
  <c r="O21" i="2"/>
  <c r="P21" i="2" s="1"/>
  <c r="O22" i="2"/>
  <c r="P22" i="2" s="1"/>
  <c r="O23" i="2"/>
  <c r="P23" i="2" s="1"/>
  <c r="O24" i="2"/>
  <c r="P24" i="2" s="1"/>
  <c r="O25" i="2"/>
  <c r="P25" i="2" s="1"/>
  <c r="O26" i="2"/>
  <c r="P26" i="2" s="1"/>
  <c r="O27" i="2"/>
  <c r="P27" i="2" s="1"/>
  <c r="O28" i="2"/>
  <c r="P28" i="2" s="1"/>
  <c r="O29" i="2"/>
  <c r="P29" i="2" s="1"/>
  <c r="O30" i="2"/>
  <c r="P30" i="2" s="1"/>
  <c r="O31" i="2"/>
  <c r="P31" i="2" s="1"/>
  <c r="O32" i="2"/>
  <c r="P32" i="2" s="1"/>
  <c r="O33" i="2"/>
  <c r="P33" i="2" s="1"/>
  <c r="O34" i="2"/>
  <c r="P34" i="2" s="1"/>
  <c r="O35" i="2"/>
  <c r="P35" i="2" s="1"/>
  <c r="O36" i="2"/>
  <c r="P36" i="2" s="1"/>
  <c r="O37" i="2"/>
  <c r="P37" i="2" s="1"/>
  <c r="O38" i="2"/>
  <c r="P38" i="2" s="1"/>
  <c r="O39" i="2"/>
  <c r="P39" i="2" s="1"/>
  <c r="O40" i="2"/>
  <c r="P40" i="2" s="1"/>
  <c r="O41" i="2"/>
  <c r="P41" i="2" s="1"/>
  <c r="O42" i="2"/>
  <c r="P42" i="2" s="1"/>
  <c r="O43" i="2"/>
  <c r="P43" i="2" s="1"/>
  <c r="O44" i="2"/>
  <c r="P44" i="2" s="1"/>
  <c r="O45" i="2"/>
  <c r="P45" i="2" s="1"/>
  <c r="O46" i="2"/>
  <c r="P46" i="2" s="1"/>
  <c r="O47" i="2"/>
  <c r="P47" i="2" s="1"/>
  <c r="O48" i="2"/>
  <c r="P48" i="2" s="1"/>
  <c r="O49" i="2"/>
  <c r="P49" i="2" s="1"/>
  <c r="O50" i="2"/>
  <c r="P50" i="2" s="1"/>
  <c r="O51" i="2"/>
  <c r="P51" i="2" s="1"/>
  <c r="O52" i="2"/>
  <c r="P52" i="2" s="1"/>
  <c r="O53" i="2"/>
  <c r="P53" i="2" s="1"/>
  <c r="O54" i="2"/>
  <c r="P54" i="2" s="1"/>
  <c r="O55" i="2"/>
  <c r="P55" i="2" s="1"/>
  <c r="O56" i="2"/>
  <c r="P56" i="2" s="1"/>
  <c r="O57" i="2"/>
  <c r="P57" i="2" s="1"/>
  <c r="O58" i="2"/>
  <c r="P58" i="2" s="1"/>
  <c r="O59" i="2"/>
  <c r="P59" i="2" s="1"/>
  <c r="O60" i="2"/>
  <c r="P60" i="2" s="1"/>
  <c r="O61" i="2"/>
  <c r="P61" i="2" s="1"/>
  <c r="O62" i="2"/>
  <c r="P62" i="2" s="1"/>
  <c r="O63" i="2"/>
  <c r="P63" i="2" s="1"/>
  <c r="O64" i="2"/>
  <c r="P64" i="2" s="1"/>
  <c r="O65" i="2"/>
  <c r="P65" i="2" s="1"/>
  <c r="O66" i="2"/>
  <c r="P66" i="2" s="1"/>
  <c r="O67" i="2"/>
  <c r="P67" i="2" s="1"/>
  <c r="O68" i="2"/>
  <c r="P68" i="2" s="1"/>
  <c r="O69" i="2"/>
  <c r="P69" i="2" s="1"/>
  <c r="O70" i="2"/>
  <c r="P70" i="2" s="1"/>
  <c r="O71" i="2"/>
  <c r="P71" i="2" s="1"/>
  <c r="O72" i="2"/>
  <c r="P72" i="2" s="1"/>
  <c r="O73" i="2"/>
  <c r="P73" i="2" s="1"/>
  <c r="O74" i="2"/>
  <c r="P74" i="2" s="1"/>
  <c r="O75" i="2"/>
  <c r="P75" i="2" s="1"/>
  <c r="O76" i="2"/>
  <c r="P76" i="2" s="1"/>
  <c r="O77" i="2"/>
  <c r="P77" i="2" s="1"/>
  <c r="O78" i="2"/>
  <c r="P78" i="2" s="1"/>
  <c r="O79" i="2"/>
  <c r="P79" i="2" s="1"/>
  <c r="O80" i="2"/>
  <c r="P80" i="2" s="1"/>
  <c r="O81" i="2"/>
  <c r="P81" i="2" s="1"/>
  <c r="O82" i="2"/>
  <c r="P82" i="2" s="1"/>
  <c r="O83" i="2"/>
  <c r="P83" i="2" s="1"/>
  <c r="O84" i="2"/>
  <c r="P84" i="2" s="1"/>
  <c r="O85" i="2"/>
  <c r="P85" i="2" s="1"/>
  <c r="O86" i="2"/>
  <c r="P86" i="2" s="1"/>
  <c r="O87" i="2"/>
  <c r="P87" i="2" s="1"/>
  <c r="O88" i="2"/>
  <c r="P88" i="2" s="1"/>
  <c r="O89" i="2"/>
  <c r="P89" i="2" s="1"/>
  <c r="O90" i="2"/>
  <c r="P90" i="2" s="1"/>
  <c r="O91" i="2"/>
  <c r="P91" i="2" s="1"/>
  <c r="O92" i="2"/>
  <c r="P92" i="2" s="1"/>
  <c r="O93" i="2"/>
  <c r="P93" i="2" s="1"/>
  <c r="O94" i="2"/>
  <c r="P94" i="2" s="1"/>
  <c r="O95" i="2"/>
  <c r="P95" i="2" s="1"/>
  <c r="O96" i="2"/>
  <c r="P96" i="2" s="1"/>
  <c r="O97" i="2"/>
  <c r="P97" i="2" s="1"/>
  <c r="O98" i="2"/>
  <c r="P98" i="2" s="1"/>
  <c r="O99" i="2"/>
  <c r="P99" i="2" s="1"/>
  <c r="O100" i="2"/>
  <c r="P100" i="2" s="1"/>
  <c r="O101" i="2"/>
  <c r="P101" i="2" s="1"/>
  <c r="I2" i="2"/>
  <c r="K2" i="2" s="1"/>
  <c r="I3" i="2"/>
  <c r="K3" i="2" s="1"/>
  <c r="I4" i="2"/>
  <c r="K4" i="2" s="1"/>
  <c r="I5" i="2"/>
  <c r="K5" i="2" s="1"/>
  <c r="I6" i="2"/>
  <c r="K6" i="2" s="1"/>
  <c r="I7" i="2"/>
  <c r="K7" i="2" s="1"/>
  <c r="I8" i="2"/>
  <c r="K8" i="2" s="1"/>
  <c r="I9" i="2"/>
  <c r="K9" i="2" s="1"/>
  <c r="I10" i="2"/>
  <c r="K10" i="2" s="1"/>
  <c r="I11" i="2"/>
  <c r="K11" i="2" s="1"/>
  <c r="I12" i="2"/>
  <c r="K12" i="2" s="1"/>
  <c r="I13" i="2"/>
  <c r="K13" i="2" s="1"/>
  <c r="I14" i="2"/>
  <c r="K14" i="2" s="1"/>
  <c r="I15" i="2"/>
  <c r="K15" i="2" s="1"/>
  <c r="I16" i="2"/>
  <c r="J16" i="2" s="1"/>
  <c r="M16" i="2" s="1"/>
  <c r="I17" i="2"/>
  <c r="K17" i="2" s="1"/>
  <c r="I18" i="2"/>
  <c r="K18" i="2" s="1"/>
  <c r="K19" i="2"/>
  <c r="I20" i="2"/>
  <c r="K20" i="2" s="1"/>
  <c r="I21" i="2"/>
  <c r="K21" i="2" s="1"/>
  <c r="I22" i="2"/>
  <c r="K22" i="2" s="1"/>
  <c r="I23" i="2"/>
  <c r="K23" i="2" s="1"/>
  <c r="I24" i="2"/>
  <c r="K24" i="2" s="1"/>
  <c r="I25" i="2"/>
  <c r="K25" i="2" s="1"/>
  <c r="I26" i="2"/>
  <c r="K26" i="2" s="1"/>
  <c r="I27" i="2"/>
  <c r="K27" i="2" s="1"/>
  <c r="I28" i="2"/>
  <c r="K28" i="2" s="1"/>
  <c r="I29" i="2"/>
  <c r="K29" i="2" s="1"/>
  <c r="I30" i="2"/>
  <c r="K30" i="2" s="1"/>
  <c r="I31" i="2"/>
  <c r="K31" i="2" s="1"/>
  <c r="I32" i="2"/>
  <c r="K32" i="2" s="1"/>
  <c r="I33" i="2"/>
  <c r="K33" i="2" s="1"/>
  <c r="I34" i="2"/>
  <c r="K34" i="2" s="1"/>
  <c r="I35" i="2"/>
  <c r="K35" i="2" s="1"/>
  <c r="I36" i="2"/>
  <c r="K36" i="2" s="1"/>
  <c r="I37" i="2"/>
  <c r="J37" i="2" s="1"/>
  <c r="M37" i="2" s="1"/>
  <c r="I38" i="2"/>
  <c r="K38" i="2" s="1"/>
  <c r="I39" i="2"/>
  <c r="K39" i="2" s="1"/>
  <c r="I40" i="2"/>
  <c r="K40" i="2" s="1"/>
  <c r="I41" i="2"/>
  <c r="K41" i="2" s="1"/>
  <c r="I42" i="2"/>
  <c r="K42" i="2" s="1"/>
  <c r="I43" i="2"/>
  <c r="K43" i="2" s="1"/>
  <c r="I44" i="2"/>
  <c r="K44" i="2" s="1"/>
  <c r="I45" i="2"/>
  <c r="J45" i="2" s="1"/>
  <c r="M45" i="2" s="1"/>
  <c r="I46" i="2"/>
  <c r="K46" i="2" s="1"/>
  <c r="I47" i="2"/>
  <c r="K47" i="2" s="1"/>
  <c r="I48" i="2"/>
  <c r="K48" i="2" s="1"/>
  <c r="I49" i="2"/>
  <c r="K49" i="2" s="1"/>
  <c r="I50" i="2"/>
  <c r="K50" i="2" s="1"/>
  <c r="I51" i="2"/>
  <c r="K51" i="2" s="1"/>
  <c r="I52" i="2"/>
  <c r="K52" i="2" s="1"/>
  <c r="I53" i="2"/>
  <c r="J53" i="2" s="1"/>
  <c r="M53" i="2" s="1"/>
  <c r="I54" i="2"/>
  <c r="K54" i="2" s="1"/>
  <c r="I55" i="2"/>
  <c r="K55" i="2" s="1"/>
  <c r="I56" i="2"/>
  <c r="J56" i="2" s="1"/>
  <c r="M56" i="2" s="1"/>
  <c r="I57" i="2"/>
  <c r="K57" i="2" s="1"/>
  <c r="I58" i="2"/>
  <c r="K58" i="2" s="1"/>
  <c r="I59" i="2"/>
  <c r="K59" i="2" s="1"/>
  <c r="I60" i="2"/>
  <c r="K60" i="2" s="1"/>
  <c r="I61" i="2"/>
  <c r="K61" i="2" s="1"/>
  <c r="I62" i="2"/>
  <c r="K62" i="2" s="1"/>
  <c r="I63" i="2"/>
  <c r="K63" i="2" s="1"/>
  <c r="I64" i="2"/>
  <c r="J64" i="2" s="1"/>
  <c r="M64" i="2" s="1"/>
  <c r="I65" i="2"/>
  <c r="J65" i="2" s="1"/>
  <c r="M65" i="2" s="1"/>
  <c r="I66" i="2"/>
  <c r="K66" i="2" s="1"/>
  <c r="I67" i="2"/>
  <c r="K67" i="2" s="1"/>
  <c r="I68" i="2"/>
  <c r="K68" i="2" s="1"/>
  <c r="I69" i="2"/>
  <c r="J69" i="2" s="1"/>
  <c r="M69" i="2" s="1"/>
  <c r="I70" i="2"/>
  <c r="K70" i="2" s="1"/>
  <c r="I71" i="2"/>
  <c r="K71" i="2" s="1"/>
  <c r="I72" i="2"/>
  <c r="J72" i="2" s="1"/>
  <c r="M72" i="2" s="1"/>
  <c r="I73" i="2"/>
  <c r="K73" i="2" s="1"/>
  <c r="I74" i="2"/>
  <c r="K74" i="2" s="1"/>
  <c r="I75" i="2"/>
  <c r="K75" i="2" s="1"/>
  <c r="I76" i="2"/>
  <c r="K76" i="2" s="1"/>
  <c r="I77" i="2"/>
  <c r="J77" i="2" s="1"/>
  <c r="M77" i="2" s="1"/>
  <c r="I78" i="2"/>
  <c r="K78" i="2" s="1"/>
  <c r="I79" i="2"/>
  <c r="K79" i="2" s="1"/>
  <c r="I80" i="2"/>
  <c r="J80" i="2" s="1"/>
  <c r="M80" i="2" s="1"/>
  <c r="I81" i="2"/>
  <c r="K81" i="2" s="1"/>
  <c r="I82" i="2"/>
  <c r="K82" i="2" s="1"/>
  <c r="I83" i="2"/>
  <c r="K83" i="2" s="1"/>
  <c r="I84" i="2"/>
  <c r="K84" i="2" s="1"/>
  <c r="I85" i="2"/>
  <c r="J85" i="2" s="1"/>
  <c r="M85" i="2" s="1"/>
  <c r="I86" i="2"/>
  <c r="K86" i="2" s="1"/>
  <c r="I87" i="2"/>
  <c r="K87" i="2" s="1"/>
  <c r="I88" i="2"/>
  <c r="K88" i="2" s="1"/>
  <c r="I89" i="2"/>
  <c r="K89" i="2" s="1"/>
  <c r="I90" i="2"/>
  <c r="K90" i="2" s="1"/>
  <c r="I91" i="2"/>
  <c r="K91" i="2" s="1"/>
  <c r="I92" i="2"/>
  <c r="K92" i="2" s="1"/>
  <c r="I93" i="2"/>
  <c r="K93" i="2" s="1"/>
  <c r="I94" i="2"/>
  <c r="K94" i="2" s="1"/>
  <c r="I95" i="2"/>
  <c r="K95" i="2" s="1"/>
  <c r="I96" i="2"/>
  <c r="J96" i="2" s="1"/>
  <c r="M96" i="2" s="1"/>
  <c r="I97" i="2"/>
  <c r="J97" i="2" s="1"/>
  <c r="M97" i="2" s="1"/>
  <c r="I98" i="2"/>
  <c r="K98" i="2" s="1"/>
  <c r="I99" i="2"/>
  <c r="K99" i="2" s="1"/>
  <c r="I100" i="2"/>
  <c r="K100" i="2" s="1"/>
  <c r="I101" i="2"/>
  <c r="J101" i="2" s="1"/>
  <c r="M101" i="2" s="1"/>
  <c r="F2" i="2"/>
  <c r="G2" i="2" s="1"/>
  <c r="F3" i="2"/>
  <c r="G3" i="2" s="1"/>
  <c r="F4" i="2"/>
  <c r="G4" i="2" s="1"/>
  <c r="F5" i="2"/>
  <c r="G5" i="2" s="1"/>
  <c r="F6" i="2"/>
  <c r="G6" i="2" s="1"/>
  <c r="F7" i="2"/>
  <c r="G7" i="2" s="1"/>
  <c r="F8" i="2"/>
  <c r="G8" i="2" s="1"/>
  <c r="F9" i="2"/>
  <c r="G9" i="2" s="1"/>
  <c r="F10" i="2"/>
  <c r="G10" i="2" s="1"/>
  <c r="F11" i="2"/>
  <c r="G11" i="2" s="1"/>
  <c r="F12" i="2"/>
  <c r="G12" i="2" s="1"/>
  <c r="F13" i="2"/>
  <c r="G13" i="2" s="1"/>
  <c r="F14" i="2"/>
  <c r="G14" i="2" s="1"/>
  <c r="F15" i="2"/>
  <c r="G15" i="2" s="1"/>
  <c r="F16" i="2"/>
  <c r="G16" i="2" s="1"/>
  <c r="F17" i="2"/>
  <c r="G17" i="2" s="1"/>
  <c r="F18" i="2"/>
  <c r="G18" i="2" s="1"/>
  <c r="F19" i="2"/>
  <c r="G19" i="2" s="1"/>
  <c r="F20" i="2"/>
  <c r="G20" i="2" s="1"/>
  <c r="F21" i="2"/>
  <c r="G21" i="2" s="1"/>
  <c r="F22" i="2"/>
  <c r="G22" i="2" s="1"/>
  <c r="F23" i="2"/>
  <c r="G23" i="2" s="1"/>
  <c r="F24" i="2"/>
  <c r="G24" i="2" s="1"/>
  <c r="F25" i="2"/>
  <c r="G25" i="2" s="1"/>
  <c r="F26" i="2"/>
  <c r="G26" i="2" s="1"/>
  <c r="F27" i="2"/>
  <c r="G27" i="2" s="1"/>
  <c r="F28" i="2"/>
  <c r="G28" i="2" s="1"/>
  <c r="F29" i="2"/>
  <c r="G29" i="2" s="1"/>
  <c r="F30" i="2"/>
  <c r="G30" i="2" s="1"/>
  <c r="F31" i="2"/>
  <c r="G31" i="2" s="1"/>
  <c r="F32" i="2"/>
  <c r="G32" i="2" s="1"/>
  <c r="F33" i="2"/>
  <c r="G33" i="2" s="1"/>
  <c r="F34" i="2"/>
  <c r="G34" i="2" s="1"/>
  <c r="F35" i="2"/>
  <c r="G35" i="2" s="1"/>
  <c r="F36" i="2"/>
  <c r="G36" i="2" s="1"/>
  <c r="F37" i="2"/>
  <c r="G37" i="2" s="1"/>
  <c r="F38" i="2"/>
  <c r="G38" i="2" s="1"/>
  <c r="F39" i="2"/>
  <c r="G39" i="2" s="1"/>
  <c r="F40" i="2"/>
  <c r="G40" i="2" s="1"/>
  <c r="F41" i="2"/>
  <c r="G41" i="2" s="1"/>
  <c r="F42" i="2"/>
  <c r="G42" i="2" s="1"/>
  <c r="F43" i="2"/>
  <c r="G43" i="2" s="1"/>
  <c r="F44" i="2"/>
  <c r="G44" i="2" s="1"/>
  <c r="F45" i="2"/>
  <c r="G45" i="2" s="1"/>
  <c r="F46" i="2"/>
  <c r="G46" i="2" s="1"/>
  <c r="F47" i="2"/>
  <c r="G47" i="2" s="1"/>
  <c r="F48" i="2"/>
  <c r="G48" i="2" s="1"/>
  <c r="F49" i="2"/>
  <c r="G49" i="2" s="1"/>
  <c r="F50" i="2"/>
  <c r="G50" i="2" s="1"/>
  <c r="F51" i="2"/>
  <c r="G51" i="2" s="1"/>
  <c r="F52" i="2"/>
  <c r="G52" i="2" s="1"/>
  <c r="F53" i="2"/>
  <c r="G53" i="2" s="1"/>
  <c r="F54" i="2"/>
  <c r="G54" i="2" s="1"/>
  <c r="F55" i="2"/>
  <c r="G55" i="2" s="1"/>
  <c r="F56" i="2"/>
  <c r="G56" i="2" s="1"/>
  <c r="F57" i="2"/>
  <c r="G57" i="2" s="1"/>
  <c r="F58" i="2"/>
  <c r="G58" i="2" s="1"/>
  <c r="F59" i="2"/>
  <c r="G59" i="2" s="1"/>
  <c r="F60" i="2"/>
  <c r="G60" i="2" s="1"/>
  <c r="F61" i="2"/>
  <c r="G61" i="2" s="1"/>
  <c r="F62" i="2"/>
  <c r="G62" i="2" s="1"/>
  <c r="F63" i="2"/>
  <c r="G63" i="2" s="1"/>
  <c r="F64" i="2"/>
  <c r="G64" i="2" s="1"/>
  <c r="F65" i="2"/>
  <c r="G65" i="2" s="1"/>
  <c r="F66" i="2"/>
  <c r="G66" i="2" s="1"/>
  <c r="F67" i="2"/>
  <c r="G67" i="2" s="1"/>
  <c r="F68" i="2"/>
  <c r="G68" i="2" s="1"/>
  <c r="F69" i="2"/>
  <c r="G69" i="2" s="1"/>
  <c r="F70" i="2"/>
  <c r="G70" i="2" s="1"/>
  <c r="F71" i="2"/>
  <c r="G71" i="2" s="1"/>
  <c r="F72" i="2"/>
  <c r="G72" i="2" s="1"/>
  <c r="F73" i="2"/>
  <c r="G73" i="2" s="1"/>
  <c r="F74" i="2"/>
  <c r="G74" i="2" s="1"/>
  <c r="F75" i="2"/>
  <c r="G75" i="2" s="1"/>
  <c r="F76" i="2"/>
  <c r="G76" i="2" s="1"/>
  <c r="F77" i="2"/>
  <c r="G77" i="2" s="1"/>
  <c r="F78" i="2"/>
  <c r="G78" i="2" s="1"/>
  <c r="F79" i="2"/>
  <c r="G79" i="2" s="1"/>
  <c r="F80" i="2"/>
  <c r="G80" i="2" s="1"/>
  <c r="F81" i="2"/>
  <c r="G81" i="2" s="1"/>
  <c r="F82" i="2"/>
  <c r="G82" i="2" s="1"/>
  <c r="F83" i="2"/>
  <c r="G83" i="2" s="1"/>
  <c r="F84" i="2"/>
  <c r="G84" i="2" s="1"/>
  <c r="F85" i="2"/>
  <c r="G85" i="2" s="1"/>
  <c r="F86" i="2"/>
  <c r="G86" i="2" s="1"/>
  <c r="F87" i="2"/>
  <c r="G87" i="2" s="1"/>
  <c r="F88" i="2"/>
  <c r="G88" i="2" s="1"/>
  <c r="F89" i="2"/>
  <c r="G89" i="2" s="1"/>
  <c r="F90" i="2"/>
  <c r="G90" i="2" s="1"/>
  <c r="F91" i="2"/>
  <c r="G91" i="2" s="1"/>
  <c r="F92" i="2"/>
  <c r="G92" i="2" s="1"/>
  <c r="F93" i="2"/>
  <c r="G93" i="2" s="1"/>
  <c r="F94" i="2"/>
  <c r="G94" i="2" s="1"/>
  <c r="F95" i="2"/>
  <c r="G95" i="2" s="1"/>
  <c r="F96" i="2"/>
  <c r="G96" i="2" s="1"/>
  <c r="F97" i="2"/>
  <c r="G97" i="2" s="1"/>
  <c r="F98" i="2"/>
  <c r="G98" i="2" s="1"/>
  <c r="F99" i="2"/>
  <c r="G99" i="2" s="1"/>
  <c r="F100" i="2"/>
  <c r="G100" i="2" s="1"/>
  <c r="F101" i="2"/>
  <c r="G101" i="2" s="1"/>
  <c r="A14" i="3"/>
  <c r="A28" i="3"/>
  <c r="N24" i="3"/>
  <c r="J26" i="3"/>
  <c r="J61" i="2" l="1"/>
  <c r="M61" i="2" s="1"/>
  <c r="J41" i="2"/>
  <c r="M41" i="2" s="1"/>
  <c r="K77" i="2"/>
  <c r="K53" i="2"/>
  <c r="J17" i="2"/>
  <c r="M17" i="2" s="1"/>
  <c r="J81" i="2"/>
  <c r="M81" i="2" s="1"/>
  <c r="K97" i="2"/>
  <c r="J33" i="2"/>
  <c r="M33" i="2" s="1"/>
  <c r="J93" i="2"/>
  <c r="M93" i="2" s="1"/>
  <c r="J73" i="2"/>
  <c r="M73" i="2" s="1"/>
  <c r="J49" i="2"/>
  <c r="M49" i="2" s="1"/>
  <c r="J29" i="2"/>
  <c r="M29" i="2" s="1"/>
  <c r="J9" i="2"/>
  <c r="M9" i="2" s="1"/>
  <c r="K85" i="2"/>
  <c r="K65" i="2"/>
  <c r="K45" i="2"/>
  <c r="J57" i="2"/>
  <c r="M57" i="2" s="1"/>
  <c r="J13" i="2"/>
  <c r="M13" i="2" s="1"/>
  <c r="K69" i="2"/>
  <c r="J89" i="2"/>
  <c r="M89" i="2" s="1"/>
  <c r="J25" i="2"/>
  <c r="M25" i="2" s="1"/>
  <c r="K101" i="2"/>
  <c r="K37" i="2"/>
  <c r="J21" i="2"/>
  <c r="M21" i="2" s="1"/>
  <c r="J5" i="2"/>
  <c r="M5" i="2" s="1"/>
  <c r="J100" i="2"/>
  <c r="M100" i="2" s="1"/>
  <c r="J92" i="2"/>
  <c r="M92" i="2" s="1"/>
  <c r="J84" i="2"/>
  <c r="M84" i="2" s="1"/>
  <c r="J76" i="2"/>
  <c r="M76" i="2" s="1"/>
  <c r="J68" i="2"/>
  <c r="M68" i="2" s="1"/>
  <c r="J60" i="2"/>
  <c r="M60" i="2" s="1"/>
  <c r="J52" i="2"/>
  <c r="M52" i="2" s="1"/>
  <c r="J40" i="2"/>
  <c r="M40" i="2" s="1"/>
  <c r="J32" i="2"/>
  <c r="M32" i="2" s="1"/>
  <c r="J24" i="2"/>
  <c r="M24" i="2" s="1"/>
  <c r="J4" i="2"/>
  <c r="M4" i="2" s="1"/>
  <c r="K96" i="2"/>
  <c r="K80" i="2"/>
  <c r="K72" i="2"/>
  <c r="K64" i="2"/>
  <c r="K56" i="2"/>
  <c r="K16" i="2"/>
  <c r="J99" i="2"/>
  <c r="M99" i="2" s="1"/>
  <c r="J95" i="2"/>
  <c r="M95" i="2" s="1"/>
  <c r="J91" i="2"/>
  <c r="M91" i="2" s="1"/>
  <c r="J87" i="2"/>
  <c r="M87" i="2" s="1"/>
  <c r="J83" i="2"/>
  <c r="M83" i="2" s="1"/>
  <c r="J79" i="2"/>
  <c r="M79" i="2" s="1"/>
  <c r="J75" i="2"/>
  <c r="M75" i="2" s="1"/>
  <c r="J71" i="2"/>
  <c r="M71" i="2" s="1"/>
  <c r="J67" i="2"/>
  <c r="M67" i="2" s="1"/>
  <c r="J63" i="2"/>
  <c r="M63" i="2" s="1"/>
  <c r="J59" i="2"/>
  <c r="M59" i="2" s="1"/>
  <c r="J55" i="2"/>
  <c r="M55" i="2" s="1"/>
  <c r="J51" i="2"/>
  <c r="M51" i="2" s="1"/>
  <c r="J47" i="2"/>
  <c r="M47" i="2" s="1"/>
  <c r="J43" i="2"/>
  <c r="M43" i="2" s="1"/>
  <c r="J39" i="2"/>
  <c r="M39" i="2" s="1"/>
  <c r="J35" i="2"/>
  <c r="M35" i="2" s="1"/>
  <c r="J31" i="2"/>
  <c r="M31" i="2" s="1"/>
  <c r="J27" i="2"/>
  <c r="M27" i="2" s="1"/>
  <c r="J23" i="2"/>
  <c r="M23" i="2" s="1"/>
  <c r="J19" i="2"/>
  <c r="M19" i="2" s="1"/>
  <c r="J15" i="2"/>
  <c r="M15" i="2" s="1"/>
  <c r="J11" i="2"/>
  <c r="M11" i="2" s="1"/>
  <c r="J7" i="2"/>
  <c r="M7" i="2" s="1"/>
  <c r="J3" i="2"/>
  <c r="M3" i="2" s="1"/>
  <c r="J88" i="2"/>
  <c r="M88" i="2" s="1"/>
  <c r="J48" i="2"/>
  <c r="M48" i="2" s="1"/>
  <c r="J44" i="2"/>
  <c r="M44" i="2" s="1"/>
  <c r="J36" i="2"/>
  <c r="M36" i="2" s="1"/>
  <c r="J28" i="2"/>
  <c r="M28" i="2" s="1"/>
  <c r="J20" i="2"/>
  <c r="M20" i="2" s="1"/>
  <c r="J12" i="2"/>
  <c r="M12" i="2" s="1"/>
  <c r="J8" i="2"/>
  <c r="M8" i="2" s="1"/>
  <c r="J98" i="2"/>
  <c r="M98" i="2" s="1"/>
  <c r="J94" i="2"/>
  <c r="M94" i="2" s="1"/>
  <c r="J90" i="2"/>
  <c r="M90" i="2" s="1"/>
  <c r="J86" i="2"/>
  <c r="M86" i="2" s="1"/>
  <c r="J82" i="2"/>
  <c r="M82" i="2" s="1"/>
  <c r="J78" i="2"/>
  <c r="M78" i="2" s="1"/>
  <c r="J74" i="2"/>
  <c r="M74" i="2" s="1"/>
  <c r="J70" i="2"/>
  <c r="M70" i="2" s="1"/>
  <c r="J66" i="2"/>
  <c r="M66" i="2" s="1"/>
  <c r="J62" i="2"/>
  <c r="M62" i="2" s="1"/>
  <c r="J58" i="2"/>
  <c r="M58" i="2" s="1"/>
  <c r="J54" i="2"/>
  <c r="M54" i="2" s="1"/>
  <c r="J50" i="2"/>
  <c r="M50" i="2" s="1"/>
  <c r="J46" i="2"/>
  <c r="M46" i="2" s="1"/>
  <c r="J42" i="2"/>
  <c r="M42" i="2" s="1"/>
  <c r="J38" i="2"/>
  <c r="M38" i="2" s="1"/>
  <c r="J34" i="2"/>
  <c r="M34" i="2" s="1"/>
  <c r="J30" i="2"/>
  <c r="M30" i="2" s="1"/>
  <c r="J26" i="2"/>
  <c r="M26" i="2" s="1"/>
  <c r="J22" i="2"/>
  <c r="M22" i="2" s="1"/>
  <c r="J18" i="2"/>
  <c r="M18" i="2" s="1"/>
  <c r="J14" i="2"/>
  <c r="M14" i="2" s="1"/>
  <c r="J10" i="2"/>
  <c r="M10" i="2" s="1"/>
  <c r="J6" i="2"/>
  <c r="M6" i="2" s="1"/>
  <c r="J2" i="2"/>
  <c r="M2" i="2" s="1"/>
</calcChain>
</file>

<file path=xl/sharedStrings.xml><?xml version="1.0" encoding="utf-8"?>
<sst xmlns="http://schemas.openxmlformats.org/spreadsheetml/2006/main" count="724" uniqueCount="113">
  <si>
    <t>Region</t>
  </si>
  <si>
    <t>Order ID</t>
  </si>
  <si>
    <t>Customer Name</t>
  </si>
  <si>
    <t>Custormer type</t>
  </si>
  <si>
    <t>Product Name</t>
  </si>
  <si>
    <t xml:space="preserve">Brand </t>
  </si>
  <si>
    <t>Category</t>
  </si>
  <si>
    <t>Quality</t>
  </si>
  <si>
    <t>Unit Price</t>
  </si>
  <si>
    <t>Sales</t>
  </si>
  <si>
    <t>Cost Prices</t>
  </si>
  <si>
    <t>Profit</t>
  </si>
  <si>
    <t>Sales Rep</t>
  </si>
  <si>
    <t>Payment Method</t>
  </si>
  <si>
    <t>ORD001</t>
  </si>
  <si>
    <t>Classic stores</t>
  </si>
  <si>
    <t>Retailer</t>
  </si>
  <si>
    <t>Sprite 50cl</t>
  </si>
  <si>
    <t>South South</t>
  </si>
  <si>
    <t>Cash</t>
  </si>
  <si>
    <t>State</t>
  </si>
  <si>
    <t>ORD002</t>
  </si>
  <si>
    <t>ORD003</t>
  </si>
  <si>
    <t>ORD004</t>
  </si>
  <si>
    <t>ORD007</t>
  </si>
  <si>
    <t>0RD006</t>
  </si>
  <si>
    <t>Victory Mart</t>
  </si>
  <si>
    <t>Bright Stores</t>
  </si>
  <si>
    <t>City Mart</t>
  </si>
  <si>
    <t>Fresh Choice</t>
  </si>
  <si>
    <t>Blessing stores</t>
  </si>
  <si>
    <t>Royal Drinks Hub</t>
  </si>
  <si>
    <t>Kings Retail</t>
  </si>
  <si>
    <t>Unity Supermarket</t>
  </si>
  <si>
    <t>Devine Mart</t>
  </si>
  <si>
    <t>Mega Shop</t>
  </si>
  <si>
    <t>Emma Supermarket</t>
  </si>
  <si>
    <t>Supermarket</t>
  </si>
  <si>
    <t>Hotel</t>
  </si>
  <si>
    <t>Restaurant</t>
  </si>
  <si>
    <t>Maltina Can</t>
  </si>
  <si>
    <t>Pepsi 50cl</t>
  </si>
  <si>
    <t>Fanta Orange</t>
  </si>
  <si>
    <t>Monster Energy</t>
  </si>
  <si>
    <t>7up 50cl</t>
  </si>
  <si>
    <t>Coca-Cola 50cl</t>
  </si>
  <si>
    <t>Fearless Energy</t>
  </si>
  <si>
    <t>south West</t>
  </si>
  <si>
    <t>North West</t>
  </si>
  <si>
    <t>North Central</t>
  </si>
  <si>
    <t>North East</t>
  </si>
  <si>
    <t>South East</t>
  </si>
  <si>
    <t>POS</t>
  </si>
  <si>
    <t>Transfer</t>
  </si>
  <si>
    <t>ORD006</t>
  </si>
  <si>
    <t>0RD005</t>
  </si>
  <si>
    <t>ORD008</t>
  </si>
  <si>
    <t>ORD009</t>
  </si>
  <si>
    <t>ORD010</t>
  </si>
  <si>
    <t>ORD011</t>
  </si>
  <si>
    <t>ORD012</t>
  </si>
  <si>
    <t>ORD013</t>
  </si>
  <si>
    <t>ORD015</t>
  </si>
  <si>
    <t>ORD014</t>
  </si>
  <si>
    <t>ORD016</t>
  </si>
  <si>
    <t>ORD017</t>
  </si>
  <si>
    <t>ORD018</t>
  </si>
  <si>
    <t>ORD019</t>
  </si>
  <si>
    <t>ORD020</t>
  </si>
  <si>
    <t>ORD021</t>
  </si>
  <si>
    <t>ORD022</t>
  </si>
  <si>
    <t>ORD023</t>
  </si>
  <si>
    <t>ORD024</t>
  </si>
  <si>
    <t>ORD025</t>
  </si>
  <si>
    <t>ORD026</t>
  </si>
  <si>
    <t>ORD027</t>
  </si>
  <si>
    <t>ORD028</t>
  </si>
  <si>
    <t>ORD029</t>
  </si>
  <si>
    <t>ORD030</t>
  </si>
  <si>
    <t>ORD031</t>
  </si>
  <si>
    <t>ORD032</t>
  </si>
  <si>
    <t>Row Labels</t>
  </si>
  <si>
    <t>Grand Total</t>
  </si>
  <si>
    <t>Sum of Sales</t>
  </si>
  <si>
    <t>TOTAL SALES ANALYSIS</t>
  </si>
  <si>
    <t>7up</t>
  </si>
  <si>
    <t>Coca-Cola</t>
  </si>
  <si>
    <t>Fearless</t>
  </si>
  <si>
    <t>Monster</t>
  </si>
  <si>
    <t>Pepsi</t>
  </si>
  <si>
    <t>Sum of Profit</t>
  </si>
  <si>
    <t>TOTAL PROFIT ANALYSIS</t>
  </si>
  <si>
    <t>Sum of Quality</t>
  </si>
  <si>
    <t>SALES BY REGION</t>
  </si>
  <si>
    <t>SALES BY STATE</t>
  </si>
  <si>
    <t>CUSTOMER PURCHASE ANALYSIS</t>
  </si>
  <si>
    <t>MONTHLY SALES TREND</t>
  </si>
  <si>
    <t>ORDER DATE</t>
  </si>
  <si>
    <t>Jan</t>
  </si>
  <si>
    <t>Apr</t>
  </si>
  <si>
    <t>SALES REP PERFORMANCE</t>
  </si>
  <si>
    <t>PAYMENT METHOD ANALYSIS</t>
  </si>
  <si>
    <t>CUSTOMER TYPE ANALYSIS</t>
  </si>
  <si>
    <t>BRAND PERFORMANCE</t>
  </si>
  <si>
    <t>Count of Order ID</t>
  </si>
  <si>
    <t>TOTAL NUMBER OF OREDRS</t>
  </si>
  <si>
    <t>Total Expenses</t>
  </si>
  <si>
    <t>Sum of Total Expenses</t>
  </si>
  <si>
    <t>Maltina</t>
  </si>
  <si>
    <t>Mar</t>
  </si>
  <si>
    <t>QUANTITY SOLD ANALYSIS</t>
  </si>
  <si>
    <t>Kano</t>
  </si>
  <si>
    <t>Abdullahi Yahaya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</si>
</sst>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68]\ #,##0"/>
    <numFmt numFmtId="165" formatCode="[$₦-468]\ #,##0.00"/>
    <numFmt numFmtId="166" formatCode="[$-409]d\-mmm\-yyyy;@"/>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10">
    <border>
      <left/>
      <right/>
      <top/>
      <bottom/>
      <diagonal/>
    </border>
    <border>
      <left style="thin">
        <color indexed="65"/>
      </left>
      <right/>
      <top style="thin">
        <color indexed="65"/>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22">
    <xf numFmtId="0" fontId="0" fillId="0" borderId="0" xfId="0"/>
    <xf numFmtId="0" fontId="1" fillId="0" borderId="0" xfId="0" applyFont="1"/>
    <xf numFmtId="164" fontId="1" fillId="0" borderId="0" xfId="0" applyNumberFormat="1" applyFont="1"/>
    <xf numFmtId="164" fontId="0" fillId="0" borderId="0" xfId="0" applyNumberFormat="1"/>
    <xf numFmtId="0" fontId="0" fillId="0" borderId="0" xfId="0" pivotButton="1"/>
    <xf numFmtId="0" fontId="0" fillId="0" borderId="0" xfId="0" applyAlignment="1">
      <alignment horizontal="left"/>
    </xf>
    <xf numFmtId="0" fontId="0" fillId="2" borderId="0" xfId="0" applyFill="1"/>
    <xf numFmtId="0" fontId="1" fillId="2" borderId="0" xfId="0" applyFont="1" applyFill="1"/>
    <xf numFmtId="0" fontId="1" fillId="2" borderId="0" xfId="0" applyFont="1" applyFill="1" applyAlignment="1">
      <alignment horizontal="left"/>
    </xf>
    <xf numFmtId="165" fontId="0" fillId="0" borderId="0" xfId="0" applyNumberFormat="1"/>
    <xf numFmtId="166" fontId="0" fillId="0" borderId="0" xfId="0" applyNumberFormat="1" applyAlignment="1">
      <alignment horizontal="left"/>
    </xf>
    <xf numFmtId="166" fontId="1" fillId="0" borderId="0" xfId="0" applyNumberFormat="1" applyFont="1" applyAlignment="1">
      <alignment horizontal="left"/>
    </xf>
    <xf numFmtId="0" fontId="0" fillId="0" borderId="1" xfId="0" applyBorder="1"/>
    <xf numFmtId="0" fontId="0" fillId="0" borderId="0" xfId="0" applyNumberFormat="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cellXfs>
  <cellStyles count="1">
    <cellStyle name="Normal" xfId="0" builtinId="0"/>
  </cellStyles>
  <dxfs count="11">
    <dxf>
      <numFmt numFmtId="0" formatCode="General"/>
    </dxf>
    <dxf>
      <numFmt numFmtId="0" formatCode="General"/>
    </dxf>
    <dxf>
      <numFmt numFmtId="164" formatCode="[$₦-468]\ #,##0"/>
    </dxf>
    <dxf>
      <numFmt numFmtId="164" formatCode="[$₦-468]\ #,##0"/>
    </dxf>
    <dxf>
      <numFmt numFmtId="164" formatCode="[$₦-468]\ #,##0"/>
    </dxf>
    <dxf>
      <numFmt numFmtId="164" formatCode="[$₦-468]\ #,##0"/>
    </dxf>
    <dxf>
      <numFmt numFmtId="164" formatCode="[$₦-468]\ #,##0"/>
    </dxf>
    <dxf>
      <numFmt numFmtId="0" formatCode="General"/>
    </dxf>
    <dxf>
      <numFmt numFmtId="0" formatCode="General"/>
    </dxf>
    <dxf>
      <numFmt numFmtId="166" formatCode="[$-409]d\-mmm\-yyyy;@"/>
      <alignment horizontal="left" vertical="bottom" textRotation="0" wrapText="0" indent="0" justifyLastLine="0" shrinkToFit="0" readingOrder="0"/>
    </dxf>
    <dxf>
      <font>
        <b/>
        <i val="0"/>
        <strike val="0"/>
        <condense val="0"/>
        <extend val="0"/>
        <outline val="0"/>
        <shadow val="0"/>
        <u val="none"/>
        <vertAlign val="baseline"/>
        <sz val="11"/>
        <color theme="1"/>
        <name val="Calibri"/>
        <scheme val="minor"/>
      </font>
    </dxf>
  </dxfs>
  <tableStyles count="0" defaultTableStyle="TableStyleMedium2" defaultPivotStyle="PivotStyleLight16"/>
  <colors>
    <mruColors>
      <color rgb="FF000000"/>
      <color rgb="FF4FCFC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0" Type="http://schemas.microsoft.com/office/2011/relationships/timelineCache" Target="timelineCaches/timelineCache1.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[practical (2).xlsx]PIVOT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PRODUCTS</a:t>
            </a:r>
            <a:endParaRPr lang="en-US" baseline="0"/>
          </a:p>
        </c:rich>
      </c:tx>
      <c:layout>
        <c:manualLayout>
          <c:xMode val="edge"/>
          <c:yMode val="edge"/>
          <c:x val="0.3800415573053369"/>
          <c:y val="5.4534849810440364E-2"/>
        </c:manualLayout>
      </c:layout>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489951529781406"/>
          <c:y val="0.16317837579700259"/>
          <c:w val="0.85510048470218591"/>
          <c:h val="0.4070476026679602"/>
        </c:manualLayout>
      </c:layout>
      <c:bar3DChart>
        <c:barDir val="col"/>
        <c:grouping val="clustered"/>
        <c:varyColors val="0"/>
        <c:ser>
          <c:idx val="0"/>
          <c:order val="0"/>
          <c:tx>
            <c:strRef>
              <c:f>'PIVOT TABLE'!$B$3</c:f>
              <c:strCache>
                <c:ptCount val="1"/>
                <c:pt idx="0">
                  <c:v>Total</c:v>
                </c:pt>
              </c:strCache>
            </c:strRef>
          </c:tx>
          <c:spPr>
            <a:solidFill>
              <a:schemeClr val="accent1"/>
            </a:solidFill>
            <a:ln>
              <a:noFill/>
            </a:ln>
            <a:effectLst/>
            <a:sp3d/>
          </c:spPr>
          <c:invertIfNegative val="0"/>
          <c:cat>
            <c:strRef>
              <c:f>'PIVOT TABLE'!$A$4:$A$12</c:f>
              <c:strCache>
                <c:ptCount val="8"/>
                <c:pt idx="0">
                  <c:v>Fearless Energy</c:v>
                </c:pt>
                <c:pt idx="1">
                  <c:v>Maltina Can</c:v>
                </c:pt>
                <c:pt idx="2">
                  <c:v>Coca-Cola 50cl</c:v>
                </c:pt>
                <c:pt idx="3">
                  <c:v>Monster Energy</c:v>
                </c:pt>
                <c:pt idx="4">
                  <c:v>Fanta Orange</c:v>
                </c:pt>
                <c:pt idx="5">
                  <c:v>Pepsi 50cl</c:v>
                </c:pt>
                <c:pt idx="6">
                  <c:v>7up 50cl</c:v>
                </c:pt>
                <c:pt idx="7">
                  <c:v>Sprite 50cl</c:v>
                </c:pt>
              </c:strCache>
            </c:strRef>
          </c:cat>
          <c:val>
            <c:numRef>
              <c:f>'PIVOT TABLE'!$B$4:$B$12</c:f>
              <c:numCache>
                <c:formatCode>[$₦-468]\ #,##0</c:formatCode>
                <c:ptCount val="8"/>
                <c:pt idx="0">
                  <c:v>168700</c:v>
                </c:pt>
                <c:pt idx="1">
                  <c:v>166400</c:v>
                </c:pt>
                <c:pt idx="2">
                  <c:v>142000</c:v>
                </c:pt>
                <c:pt idx="3">
                  <c:v>118800</c:v>
                </c:pt>
                <c:pt idx="4">
                  <c:v>114300</c:v>
                </c:pt>
                <c:pt idx="5">
                  <c:v>64320</c:v>
                </c:pt>
                <c:pt idx="6">
                  <c:v>20700</c:v>
                </c:pt>
                <c:pt idx="7">
                  <c:v>20680</c:v>
                </c:pt>
              </c:numCache>
            </c:numRef>
          </c:val>
          <c:extLst>
            <c:ext xmlns:c16="http://schemas.microsoft.com/office/drawing/2014/chart" uri="{C3380CC4-5D6E-409C-BE32-E72D297353CC}">
              <c16:uniqueId val="{00000000-CC78-4C0E-8AD4-FA50484BCDBA}"/>
            </c:ext>
          </c:extLst>
        </c:ser>
        <c:dLbls>
          <c:showLegendKey val="0"/>
          <c:showVal val="0"/>
          <c:showCatName val="0"/>
          <c:showSerName val="0"/>
          <c:showPercent val="0"/>
          <c:showBubbleSize val="0"/>
        </c:dLbls>
        <c:gapWidth val="150"/>
        <c:shape val="box"/>
        <c:axId val="298509368"/>
        <c:axId val="298499256"/>
        <c:axId val="0"/>
      </c:bar3DChart>
      <c:catAx>
        <c:axId val="29850936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499256"/>
        <c:crosses val="autoZero"/>
        <c:auto val="1"/>
        <c:lblAlgn val="ctr"/>
        <c:lblOffset val="100"/>
        <c:noMultiLvlLbl val="0"/>
      </c:catAx>
      <c:valAx>
        <c:axId val="298499256"/>
        <c:scaling>
          <c:orientation val="minMax"/>
        </c:scaling>
        <c:delete val="1"/>
        <c:axPos val="l"/>
        <c:numFmt formatCode="[$₦-468]\ #,##0" sourceLinked="1"/>
        <c:majorTickMark val="out"/>
        <c:minorTickMark val="none"/>
        <c:tickLblPos val="nextTo"/>
        <c:crossAx val="2985093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[practical (2).xlsx]PIVOT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BRAND</a:t>
            </a:r>
            <a:r>
              <a:rPr lang="en-US" baseline="0"/>
              <a:t>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TABLE'!$B$19</c:f>
              <c:strCache>
                <c:ptCount val="1"/>
                <c:pt idx="0">
                  <c:v>Total</c:v>
                </c:pt>
              </c:strCache>
            </c:strRef>
          </c:tx>
          <c:spPr>
            <a:solidFill>
              <a:schemeClr val="accent1"/>
            </a:solidFill>
            <a:ln>
              <a:noFill/>
            </a:ln>
            <a:effectLst/>
            <a:sp3d/>
          </c:spPr>
          <c:invertIfNegative val="0"/>
          <c:cat>
            <c:strRef>
              <c:f>'PIVOT TABLE'!$A$20:$A$26</c:f>
              <c:strCache>
                <c:ptCount val="6"/>
                <c:pt idx="0">
                  <c:v>Coca-Cola</c:v>
                </c:pt>
                <c:pt idx="1">
                  <c:v>Maltina</c:v>
                </c:pt>
                <c:pt idx="2">
                  <c:v>Fearless</c:v>
                </c:pt>
                <c:pt idx="3">
                  <c:v>Monster</c:v>
                </c:pt>
                <c:pt idx="4">
                  <c:v>Pepsi</c:v>
                </c:pt>
                <c:pt idx="5">
                  <c:v>7up</c:v>
                </c:pt>
              </c:strCache>
            </c:strRef>
          </c:cat>
          <c:val>
            <c:numRef>
              <c:f>'PIVOT TABLE'!$B$20:$B$26</c:f>
              <c:numCache>
                <c:formatCode>[$₦-468]\ #,##0</c:formatCode>
                <c:ptCount val="6"/>
                <c:pt idx="0">
                  <c:v>88000</c:v>
                </c:pt>
                <c:pt idx="1">
                  <c:v>54500</c:v>
                </c:pt>
                <c:pt idx="2">
                  <c:v>47600</c:v>
                </c:pt>
                <c:pt idx="3">
                  <c:v>33000</c:v>
                </c:pt>
                <c:pt idx="4">
                  <c:v>20000</c:v>
                </c:pt>
                <c:pt idx="5">
                  <c:v>4500</c:v>
                </c:pt>
              </c:numCache>
            </c:numRef>
          </c:val>
          <c:extLst>
            <c:ext xmlns:c16="http://schemas.microsoft.com/office/drawing/2014/chart" uri="{C3380CC4-5D6E-409C-BE32-E72D297353CC}">
              <c16:uniqueId val="{00000000-FC1E-4CCF-B390-588566DA0FD5}"/>
            </c:ext>
          </c:extLst>
        </c:ser>
        <c:dLbls>
          <c:showLegendKey val="0"/>
          <c:showVal val="0"/>
          <c:showCatName val="0"/>
          <c:showSerName val="0"/>
          <c:showPercent val="0"/>
          <c:showBubbleSize val="0"/>
        </c:dLbls>
        <c:gapWidth val="150"/>
        <c:shape val="box"/>
        <c:axId val="299584752"/>
        <c:axId val="298845336"/>
        <c:axId val="0"/>
      </c:bar3DChart>
      <c:catAx>
        <c:axId val="2995847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845336"/>
        <c:crosses val="autoZero"/>
        <c:auto val="1"/>
        <c:lblAlgn val="ctr"/>
        <c:lblOffset val="100"/>
        <c:noMultiLvlLbl val="0"/>
      </c:catAx>
      <c:valAx>
        <c:axId val="298845336"/>
        <c:scaling>
          <c:orientation val="minMax"/>
        </c:scaling>
        <c:delete val="1"/>
        <c:axPos val="b"/>
        <c:numFmt formatCode="[$₦-468]\ #,##0" sourceLinked="1"/>
        <c:majorTickMark val="none"/>
        <c:minorTickMark val="none"/>
        <c:tickLblPos val="nextTo"/>
        <c:crossAx val="2995847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[practical (2).xlsx]PIVOT TABLE!PivotTable7</c:name>
    <c:fmtId val="0"/>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2"/>
            </a:outerShdw>
          </a:effectLst>
        </c:spPr>
        <c:marker>
          <c:symbol val="circle"/>
          <c:size val="5"/>
          <c:spPr>
            <a:solidFill>
              <a:schemeClr val="accent2"/>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TABLE'!$K$3</c:f>
              <c:strCache>
                <c:ptCount val="1"/>
                <c:pt idx="0">
                  <c:v>Total</c:v>
                </c:pt>
              </c:strCache>
            </c:strRef>
          </c:tx>
          <c:spPr>
            <a:ln w="34925" cap="rnd">
              <a:solidFill>
                <a:schemeClr val="lt1"/>
              </a:solidFill>
              <a:round/>
            </a:ln>
            <a:effectLst>
              <a:outerShdw dist="25400" dir="2700000" algn="tl" rotWithShape="0">
                <a:schemeClr val="accent2"/>
              </a:outerShdw>
            </a:effectLst>
          </c:spPr>
          <c:marker>
            <c:symbol val="circle"/>
            <c:size val="5"/>
            <c:spPr>
              <a:solidFill>
                <a:schemeClr val="accent2"/>
              </a:solidFill>
              <a:ln w="22225">
                <a:solidFill>
                  <a:schemeClr val="lt1"/>
                </a:solidFill>
                <a:round/>
              </a:ln>
              <a:effectLst/>
            </c:spPr>
          </c:marker>
          <c:cat>
            <c:strRef>
              <c:f>'PIVOT TABLE'!$J$4:$J$7</c:f>
              <c:strCache>
                <c:ptCount val="3"/>
                <c:pt idx="0">
                  <c:v>Mar</c:v>
                </c:pt>
                <c:pt idx="1">
                  <c:v>Jan</c:v>
                </c:pt>
                <c:pt idx="2">
                  <c:v>Apr</c:v>
                </c:pt>
              </c:strCache>
            </c:strRef>
          </c:cat>
          <c:val>
            <c:numRef>
              <c:f>'PIVOT TABLE'!$K$4:$K$7</c:f>
              <c:numCache>
                <c:formatCode>[$₦-468]\ #,##0</c:formatCode>
                <c:ptCount val="3"/>
                <c:pt idx="0">
                  <c:v>551440</c:v>
                </c:pt>
                <c:pt idx="1">
                  <c:v>243780</c:v>
                </c:pt>
                <c:pt idx="2">
                  <c:v>20680</c:v>
                </c:pt>
              </c:numCache>
            </c:numRef>
          </c:val>
          <c:smooth val="0"/>
          <c:extLst>
            <c:ext xmlns:c16="http://schemas.microsoft.com/office/drawing/2014/chart" uri="{C3380CC4-5D6E-409C-BE32-E72D297353CC}">
              <c16:uniqueId val="{00000000-E8B9-44F0-842D-6E060BEFF1C2}"/>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298877816"/>
        <c:axId val="298878200"/>
      </c:lineChart>
      <c:catAx>
        <c:axId val="298877816"/>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298878200"/>
        <c:crosses val="autoZero"/>
        <c:auto val="1"/>
        <c:lblAlgn val="ctr"/>
        <c:lblOffset val="100"/>
        <c:noMultiLvlLbl val="0"/>
      </c:catAx>
      <c:valAx>
        <c:axId val="298878200"/>
        <c:scaling>
          <c:orientation val="minMax"/>
        </c:scaling>
        <c:delete val="0"/>
        <c:axPos val="l"/>
        <c:numFmt formatCode="[$₦-468]\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98877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chart>
  <c:spPr>
    <a:solidFill>
      <a:schemeClr val="accent2"/>
    </a:solid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[practical (2).xlsx]PIVOT TABLE!PivotTable9</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c:spP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3"/>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c:spPr>
      </c:pivotFmt>
    </c:pivotFmts>
    <c:plotArea>
      <c:layout/>
      <c:pieChart>
        <c:varyColors val="1"/>
        <c:ser>
          <c:idx val="0"/>
          <c:order val="0"/>
          <c:tx>
            <c:strRef>
              <c:f>'PIVOT TABLE'!$N$3</c:f>
              <c:strCache>
                <c:ptCount val="1"/>
                <c:pt idx="0">
                  <c:v>Total</c:v>
                </c:pt>
              </c:strCache>
            </c:strRef>
          </c:tx>
          <c:dPt>
            <c:idx val="0"/>
            <c:bubble3D val="0"/>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c:spPr>
            <c:extLst>
              <c:ext xmlns:c16="http://schemas.microsoft.com/office/drawing/2014/chart" uri="{C3380CC4-5D6E-409C-BE32-E72D297353CC}">
                <c16:uniqueId val="{00000001-A196-4AA7-85EC-FA5B4EA7D8C8}"/>
              </c:ext>
            </c:extLst>
          </c:dPt>
          <c:dPt>
            <c:idx val="1"/>
            <c:bubble3D val="0"/>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c:spPr>
            <c:extLst>
              <c:ext xmlns:c16="http://schemas.microsoft.com/office/drawing/2014/chart" uri="{C3380CC4-5D6E-409C-BE32-E72D297353CC}">
                <c16:uniqueId val="{00000003-A196-4AA7-85EC-FA5B4EA7D8C8}"/>
              </c:ext>
            </c:extLst>
          </c:dPt>
          <c:dPt>
            <c:idx val="2"/>
            <c:bubble3D val="0"/>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c:spPr>
            <c:extLst>
              <c:ext xmlns:c16="http://schemas.microsoft.com/office/drawing/2014/chart" uri="{C3380CC4-5D6E-409C-BE32-E72D297353CC}">
                <c16:uniqueId val="{00000005-A196-4AA7-85EC-FA5B4EA7D8C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TABLE'!$M$4:$M$7</c:f>
              <c:strCache>
                <c:ptCount val="3"/>
                <c:pt idx="0">
                  <c:v>POS</c:v>
                </c:pt>
                <c:pt idx="1">
                  <c:v>Transfer</c:v>
                </c:pt>
                <c:pt idx="2">
                  <c:v>Cash</c:v>
                </c:pt>
              </c:strCache>
            </c:strRef>
          </c:cat>
          <c:val>
            <c:numRef>
              <c:f>'PIVOT TABLE'!$N$4:$N$7</c:f>
              <c:numCache>
                <c:formatCode>[$₦-468]\ #,##0</c:formatCode>
                <c:ptCount val="3"/>
                <c:pt idx="0">
                  <c:v>353000</c:v>
                </c:pt>
                <c:pt idx="1">
                  <c:v>262380</c:v>
                </c:pt>
                <c:pt idx="2">
                  <c:v>200520</c:v>
                </c:pt>
              </c:numCache>
            </c:numRef>
          </c:val>
          <c:extLst>
            <c:ext xmlns:c16="http://schemas.microsoft.com/office/drawing/2014/chart" uri="{C3380CC4-5D6E-409C-BE32-E72D297353CC}">
              <c16:uniqueId val="{00000006-A196-4AA7-85EC-FA5B4EA7D8C8}"/>
            </c:ext>
          </c:extLst>
        </c:ser>
        <c:dLbls>
          <c:dLblPos val="in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[practical (2).xlsx]PIVOT TABLE!PivotTable4</c:name>
    <c:fmtId val="3"/>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TABLE'!$E$16</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3BE-408C-B5C7-15FA80DA3AF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3BE-408C-B5C7-15FA80DA3AFE}"/>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3BE-408C-B5C7-15FA80DA3AFE}"/>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C3BE-408C-B5C7-15FA80DA3AFE}"/>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C3BE-408C-B5C7-15FA80DA3AFE}"/>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C3BE-408C-B5C7-15FA80DA3AF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TABLE'!$D$17:$D$18</c:f>
              <c:strCache>
                <c:ptCount val="1"/>
                <c:pt idx="0">
                  <c:v>North West</c:v>
                </c:pt>
              </c:strCache>
            </c:strRef>
          </c:cat>
          <c:val>
            <c:numRef>
              <c:f>'PIVOT TABLE'!$E$17:$E$18</c:f>
              <c:numCache>
                <c:formatCode>[$₦-468]\ #,##0.00</c:formatCode>
                <c:ptCount val="1"/>
                <c:pt idx="0">
                  <c:v>815900</c:v>
                </c:pt>
              </c:numCache>
            </c:numRef>
          </c:val>
          <c:extLst>
            <c:ext xmlns:c16="http://schemas.microsoft.com/office/drawing/2014/chart" uri="{C3380CC4-5D6E-409C-BE32-E72D297353CC}">
              <c16:uniqueId val="{0000000C-C3BE-408C-B5C7-15FA80DA3AFE}"/>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[practical (2).xlsx]PIVOT TABLE!PivotTable10</c:name>
    <c:fmtId val="8"/>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 TABLE'!$O$13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4E9-4777-BB07-30F8FC8ED81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4E9-4777-BB07-30F8FC8ED81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4E9-4777-BB07-30F8FC8ED818}"/>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4E9-4777-BB07-30F8FC8ED81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TABLE'!$N$14:$N$18</c:f>
              <c:strCache>
                <c:ptCount val="4"/>
                <c:pt idx="0">
                  <c:v>Retailer</c:v>
                </c:pt>
                <c:pt idx="1">
                  <c:v>Hotel</c:v>
                </c:pt>
                <c:pt idx="2">
                  <c:v>Restaurant</c:v>
                </c:pt>
                <c:pt idx="3">
                  <c:v>Supermarket</c:v>
                </c:pt>
              </c:strCache>
            </c:strRef>
          </c:cat>
          <c:val>
            <c:numRef>
              <c:f>'PIVOT TABLE'!$O$14:$O$18</c:f>
              <c:numCache>
                <c:formatCode>[$₦-468]\ #,##0</c:formatCode>
                <c:ptCount val="4"/>
                <c:pt idx="0">
                  <c:v>394940</c:v>
                </c:pt>
                <c:pt idx="1">
                  <c:v>224460</c:v>
                </c:pt>
                <c:pt idx="2">
                  <c:v>147000</c:v>
                </c:pt>
                <c:pt idx="3">
                  <c:v>49500</c:v>
                </c:pt>
              </c:numCache>
            </c:numRef>
          </c:val>
          <c:extLst>
            <c:ext xmlns:c16="http://schemas.microsoft.com/office/drawing/2014/chart" uri="{C3380CC4-5D6E-409C-BE32-E72D297353CC}">
              <c16:uniqueId val="{00000008-84E9-4777-BB07-30F8FC8ED818}"/>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[practical (2).xlsx]PIVOT TABLE!PivotTable1</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spPr>
          <a:solidFill>
            <a:schemeClr val="accent6">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052503867480141"/>
          <c:y val="0.17099743177264129"/>
          <c:w val="0.74185142138125204"/>
          <c:h val="0.37441251093613298"/>
        </c:manualLayout>
      </c:layout>
      <c:bar3DChart>
        <c:barDir val="col"/>
        <c:grouping val="clustered"/>
        <c:varyColors val="0"/>
        <c:ser>
          <c:idx val="0"/>
          <c:order val="0"/>
          <c:tx>
            <c:strRef>
              <c:f>'PIVOT TABLE'!$B$3</c:f>
              <c:strCache>
                <c:ptCount val="1"/>
                <c:pt idx="0">
                  <c:v>Total</c:v>
                </c:pt>
              </c:strCache>
            </c:strRef>
          </c:tx>
          <c:spPr>
            <a:solidFill>
              <a:schemeClr val="accent6">
                <a:lumMod val="75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TABLE'!$A$4:$A$12</c:f>
              <c:strCache>
                <c:ptCount val="8"/>
                <c:pt idx="0">
                  <c:v>Fearless Energy</c:v>
                </c:pt>
                <c:pt idx="1">
                  <c:v>Maltina Can</c:v>
                </c:pt>
                <c:pt idx="2">
                  <c:v>Coca-Cola 50cl</c:v>
                </c:pt>
                <c:pt idx="3">
                  <c:v>Monster Energy</c:v>
                </c:pt>
                <c:pt idx="4">
                  <c:v>Fanta Orange</c:v>
                </c:pt>
                <c:pt idx="5">
                  <c:v>Pepsi 50cl</c:v>
                </c:pt>
                <c:pt idx="6">
                  <c:v>7up 50cl</c:v>
                </c:pt>
                <c:pt idx="7">
                  <c:v>Sprite 50cl</c:v>
                </c:pt>
              </c:strCache>
            </c:strRef>
          </c:cat>
          <c:val>
            <c:numRef>
              <c:f>'PIVOT TABLE'!$B$4:$B$12</c:f>
              <c:numCache>
                <c:formatCode>[$₦-468]\ #,##0</c:formatCode>
                <c:ptCount val="8"/>
                <c:pt idx="0">
                  <c:v>168700</c:v>
                </c:pt>
                <c:pt idx="1">
                  <c:v>166400</c:v>
                </c:pt>
                <c:pt idx="2">
                  <c:v>142000</c:v>
                </c:pt>
                <c:pt idx="3">
                  <c:v>118800</c:v>
                </c:pt>
                <c:pt idx="4">
                  <c:v>114300</c:v>
                </c:pt>
                <c:pt idx="5">
                  <c:v>64320</c:v>
                </c:pt>
                <c:pt idx="6">
                  <c:v>20700</c:v>
                </c:pt>
                <c:pt idx="7">
                  <c:v>20680</c:v>
                </c:pt>
              </c:numCache>
            </c:numRef>
          </c:val>
          <c:extLst>
            <c:ext xmlns:c16="http://schemas.microsoft.com/office/drawing/2014/chart" uri="{C3380CC4-5D6E-409C-BE32-E72D297353CC}">
              <c16:uniqueId val="{00000000-22F7-45F5-9EED-2093C5CD1B27}"/>
            </c:ext>
          </c:extLst>
        </c:ser>
        <c:dLbls>
          <c:showLegendKey val="0"/>
          <c:showVal val="1"/>
          <c:showCatName val="0"/>
          <c:showSerName val="0"/>
          <c:showPercent val="0"/>
          <c:showBubbleSize val="0"/>
        </c:dLbls>
        <c:gapWidth val="150"/>
        <c:shape val="box"/>
        <c:axId val="297805320"/>
        <c:axId val="297805704"/>
        <c:axId val="0"/>
      </c:bar3DChart>
      <c:catAx>
        <c:axId val="29780532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97805704"/>
        <c:crosses val="autoZero"/>
        <c:auto val="1"/>
        <c:lblAlgn val="ctr"/>
        <c:lblOffset val="100"/>
        <c:noMultiLvlLbl val="0"/>
      </c:catAx>
      <c:valAx>
        <c:axId val="297805704"/>
        <c:scaling>
          <c:orientation val="minMax"/>
        </c:scaling>
        <c:delete val="1"/>
        <c:axPos val="l"/>
        <c:numFmt formatCode="[$₦-468]\ #,##0" sourceLinked="1"/>
        <c:majorTickMark val="none"/>
        <c:minorTickMark val="none"/>
        <c:tickLblPos val="nextTo"/>
        <c:crossAx val="2978053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[practical (2).xlsx]PIVOT TABLE!PivotTable2</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925020970316853"/>
          <c:y val="0.14283649503161699"/>
          <c:w val="0.75013123359580047"/>
          <c:h val="0.81741644083107501"/>
        </c:manualLayout>
      </c:layout>
      <c:bar3DChart>
        <c:barDir val="bar"/>
        <c:grouping val="clustered"/>
        <c:varyColors val="0"/>
        <c:ser>
          <c:idx val="0"/>
          <c:order val="0"/>
          <c:tx>
            <c:strRef>
              <c:f>'PIVOT TABLE'!$B$19</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TABLE'!$A$20:$A$26</c:f>
              <c:strCache>
                <c:ptCount val="6"/>
                <c:pt idx="0">
                  <c:v>Coca-Cola</c:v>
                </c:pt>
                <c:pt idx="1">
                  <c:v>Maltina</c:v>
                </c:pt>
                <c:pt idx="2">
                  <c:v>Fearless</c:v>
                </c:pt>
                <c:pt idx="3">
                  <c:v>Monster</c:v>
                </c:pt>
                <c:pt idx="4">
                  <c:v>Pepsi</c:v>
                </c:pt>
                <c:pt idx="5">
                  <c:v>7up</c:v>
                </c:pt>
              </c:strCache>
            </c:strRef>
          </c:cat>
          <c:val>
            <c:numRef>
              <c:f>'PIVOT TABLE'!$B$20:$B$26</c:f>
              <c:numCache>
                <c:formatCode>[$₦-468]\ #,##0</c:formatCode>
                <c:ptCount val="6"/>
                <c:pt idx="0">
                  <c:v>88000</c:v>
                </c:pt>
                <c:pt idx="1">
                  <c:v>54500</c:v>
                </c:pt>
                <c:pt idx="2">
                  <c:v>47600</c:v>
                </c:pt>
                <c:pt idx="3">
                  <c:v>33000</c:v>
                </c:pt>
                <c:pt idx="4">
                  <c:v>20000</c:v>
                </c:pt>
                <c:pt idx="5">
                  <c:v>4500</c:v>
                </c:pt>
              </c:numCache>
            </c:numRef>
          </c:val>
          <c:extLst>
            <c:ext xmlns:c16="http://schemas.microsoft.com/office/drawing/2014/chart" uri="{C3380CC4-5D6E-409C-BE32-E72D297353CC}">
              <c16:uniqueId val="{00000000-5D7B-4733-95CF-8DB207DF78B5}"/>
            </c:ext>
          </c:extLst>
        </c:ser>
        <c:dLbls>
          <c:showLegendKey val="0"/>
          <c:showVal val="1"/>
          <c:showCatName val="0"/>
          <c:showSerName val="0"/>
          <c:showPercent val="0"/>
          <c:showBubbleSize val="0"/>
        </c:dLbls>
        <c:gapWidth val="150"/>
        <c:shape val="box"/>
        <c:axId val="299658744"/>
        <c:axId val="299657176"/>
        <c:axId val="0"/>
      </c:bar3DChart>
      <c:catAx>
        <c:axId val="29965874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9657176"/>
        <c:crosses val="autoZero"/>
        <c:auto val="1"/>
        <c:lblAlgn val="ctr"/>
        <c:lblOffset val="100"/>
        <c:noMultiLvlLbl val="0"/>
      </c:catAx>
      <c:valAx>
        <c:axId val="299657176"/>
        <c:scaling>
          <c:orientation val="minMax"/>
        </c:scaling>
        <c:delete val="0"/>
        <c:axPos val="b"/>
        <c:numFmt formatCode="[$₦-468]\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96587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[practical (2).xlsx]PIVOT TABLE!PivotTable7</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spPr>
          <a:ln w="22225" cap="rnd" cmpd="sng" algn="ctr">
            <a:solidFill>
              <a:schemeClr val="accent5"/>
            </a:solidFill>
            <a:round/>
          </a:ln>
          <a:effectLst/>
        </c:spPr>
        <c:marker>
          <c:symbol val="circle"/>
          <c:size val="4"/>
          <c:spPr>
            <a:solidFill>
              <a:schemeClr val="accent5"/>
            </a:solidFill>
            <a:ln w="9525" cap="flat" cmpd="sng" algn="ctr">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613140774464787E-4"/>
          <c:y val="0.18803545783192194"/>
          <c:w val="0.92775041050903118"/>
          <c:h val="0.67188451443569552"/>
        </c:manualLayout>
      </c:layout>
      <c:lineChart>
        <c:grouping val="standard"/>
        <c:varyColors val="0"/>
        <c:ser>
          <c:idx val="0"/>
          <c:order val="0"/>
          <c:tx>
            <c:strRef>
              <c:f>'PIVOT TABLE'!$K$3</c:f>
              <c:strCache>
                <c:ptCount val="1"/>
                <c:pt idx="0">
                  <c:v>Total</c:v>
                </c:pt>
              </c:strCache>
            </c:strRef>
          </c:tx>
          <c:spPr>
            <a:ln w="22225" cap="rnd" cmpd="sng" algn="ctr">
              <a:solidFill>
                <a:schemeClr val="accent5"/>
              </a:solidFill>
              <a:round/>
            </a:ln>
            <a:effectLst/>
          </c:spPr>
          <c:marker>
            <c:symbol val="circle"/>
            <c:size val="4"/>
            <c:spPr>
              <a:solidFill>
                <a:schemeClr val="accent5"/>
              </a:solidFill>
              <a:ln w="9525" cap="flat" cmpd="sng" algn="ctr">
                <a:solidFill>
                  <a:schemeClr val="accent5"/>
                </a:solidFill>
                <a:round/>
              </a:ln>
              <a:effectLst/>
            </c:spPr>
          </c:marker>
          <c:cat>
            <c:strRef>
              <c:f>'PIVOT TABLE'!$J$4:$J$7</c:f>
              <c:strCache>
                <c:ptCount val="3"/>
                <c:pt idx="0">
                  <c:v>Mar</c:v>
                </c:pt>
                <c:pt idx="1">
                  <c:v>Jan</c:v>
                </c:pt>
                <c:pt idx="2">
                  <c:v>Apr</c:v>
                </c:pt>
              </c:strCache>
            </c:strRef>
          </c:cat>
          <c:val>
            <c:numRef>
              <c:f>'PIVOT TABLE'!$K$4:$K$7</c:f>
              <c:numCache>
                <c:formatCode>[$₦-468]\ #,##0</c:formatCode>
                <c:ptCount val="3"/>
                <c:pt idx="0">
                  <c:v>551440</c:v>
                </c:pt>
                <c:pt idx="1">
                  <c:v>243780</c:v>
                </c:pt>
                <c:pt idx="2">
                  <c:v>20680</c:v>
                </c:pt>
              </c:numCache>
            </c:numRef>
          </c:val>
          <c:smooth val="0"/>
          <c:extLst>
            <c:ext xmlns:c16="http://schemas.microsoft.com/office/drawing/2014/chart" uri="{C3380CC4-5D6E-409C-BE32-E72D297353CC}">
              <c16:uniqueId val="{00000000-B2B2-441D-B98B-F01D6C666CC1}"/>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299657960"/>
        <c:axId val="299655216"/>
      </c:lineChart>
      <c:catAx>
        <c:axId val="299657960"/>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99655216"/>
        <c:crosses val="autoZero"/>
        <c:auto val="1"/>
        <c:lblAlgn val="ctr"/>
        <c:lblOffset val="100"/>
        <c:noMultiLvlLbl val="0"/>
      </c:catAx>
      <c:valAx>
        <c:axId val="299655216"/>
        <c:scaling>
          <c:orientation val="minMax"/>
        </c:scaling>
        <c:delete val="0"/>
        <c:axPos val="l"/>
        <c:numFmt formatCode="[$₦-468]\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99657960"/>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[practical (2).xlsx]PIVOT TABLE!PivotTable9</c:name>
    <c:fmtId val="4"/>
  </c:pivotSource>
  <c:chart>
    <c:autoTitleDeleted val="1"/>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s>
    <c:plotArea>
      <c:layout>
        <c:manualLayout>
          <c:layoutTarget val="inner"/>
          <c:xMode val="edge"/>
          <c:yMode val="edge"/>
          <c:x val="0.3322630170359957"/>
          <c:y val="0.17533576440683613"/>
          <c:w val="0.75713619858155023"/>
          <c:h val="0.77005688282138796"/>
        </c:manualLayout>
      </c:layout>
      <c:pieChart>
        <c:varyColors val="1"/>
        <c:ser>
          <c:idx val="0"/>
          <c:order val="0"/>
          <c:tx>
            <c:strRef>
              <c:f>'PIVOT TABLE'!$N$3</c:f>
              <c:strCache>
                <c:ptCount val="1"/>
                <c:pt idx="0">
                  <c:v>Total</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extLst>
              <c:ext xmlns:c16="http://schemas.microsoft.com/office/drawing/2014/chart" uri="{C3380CC4-5D6E-409C-BE32-E72D297353CC}">
                <c16:uniqueId val="{00000001-7D2C-4269-A68D-1B80585B5B4C}"/>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3-7D2C-4269-A68D-1B80585B5B4C}"/>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5-7D2C-4269-A68D-1B80585B5B4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TABLE'!$M$4:$M$7</c:f>
              <c:strCache>
                <c:ptCount val="3"/>
                <c:pt idx="0">
                  <c:v>POS</c:v>
                </c:pt>
                <c:pt idx="1">
                  <c:v>Transfer</c:v>
                </c:pt>
                <c:pt idx="2">
                  <c:v>Cash</c:v>
                </c:pt>
              </c:strCache>
            </c:strRef>
          </c:cat>
          <c:val>
            <c:numRef>
              <c:f>'PIVOT TABLE'!$N$4:$N$7</c:f>
              <c:numCache>
                <c:formatCode>[$₦-468]\ #,##0</c:formatCode>
                <c:ptCount val="3"/>
                <c:pt idx="0">
                  <c:v>353000</c:v>
                </c:pt>
                <c:pt idx="1">
                  <c:v>262380</c:v>
                </c:pt>
                <c:pt idx="2">
                  <c:v>200520</c:v>
                </c:pt>
              </c:numCache>
            </c:numRef>
          </c:val>
          <c:extLst>
            <c:ext xmlns:c16="http://schemas.microsoft.com/office/drawing/2014/chart" uri="{C3380CC4-5D6E-409C-BE32-E72D297353CC}">
              <c16:uniqueId val="{00000006-7D2C-4269-A68D-1B80585B5B4C}"/>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[practical (2).xlsx]PIVOT TABLE!PivotTable4</c:name>
    <c:fmtId val="6"/>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5118291248076748"/>
          <c:y val="5.2663085928664699E-2"/>
          <c:w val="0.53699701330437144"/>
          <c:h val="0.8946738281426706"/>
        </c:manualLayout>
      </c:layout>
      <c:pieChart>
        <c:varyColors val="1"/>
        <c:ser>
          <c:idx val="0"/>
          <c:order val="0"/>
          <c:tx>
            <c:strRef>
              <c:f>'PIVOT TABLE'!$E$16</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7D4-42C3-A9F0-AEA7E822D07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7D4-42C3-A9F0-AEA7E822D072}"/>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7D4-42C3-A9F0-AEA7E822D072}"/>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07D4-42C3-A9F0-AEA7E822D072}"/>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07D4-42C3-A9F0-AEA7E822D072}"/>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07D4-42C3-A9F0-AEA7E822D07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TABLE'!$D$17:$D$18</c:f>
              <c:strCache>
                <c:ptCount val="1"/>
                <c:pt idx="0">
                  <c:v>North West</c:v>
                </c:pt>
              </c:strCache>
            </c:strRef>
          </c:cat>
          <c:val>
            <c:numRef>
              <c:f>'PIVOT TABLE'!$E$17:$E$18</c:f>
              <c:numCache>
                <c:formatCode>[$₦-468]\ #,##0.00</c:formatCode>
                <c:ptCount val="1"/>
                <c:pt idx="0">
                  <c:v>815900</c:v>
                </c:pt>
              </c:numCache>
            </c:numRef>
          </c:val>
          <c:extLst>
            <c:ext xmlns:c16="http://schemas.microsoft.com/office/drawing/2014/chart" uri="{C3380CC4-5D6E-409C-BE32-E72D297353CC}">
              <c16:uniqueId val="{0000000C-07D4-42C3-A9F0-AEA7E822D072}"/>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ysClr val="window" lastClr="FFFFFF"/>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[practical (2).xlsx]PIVOT TABLE!PivotTable10</c:name>
    <c:fmtId val="11"/>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 TABLE'!$O$13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B2A-44DA-A260-B37822FFCB6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B2A-44DA-A260-B37822FFCB63}"/>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B2A-44DA-A260-B37822FFCB63}"/>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1B2A-44DA-A260-B37822FFCB6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TABLE'!$N$14:$N$18</c:f>
              <c:strCache>
                <c:ptCount val="4"/>
                <c:pt idx="0">
                  <c:v>Retailer</c:v>
                </c:pt>
                <c:pt idx="1">
                  <c:v>Hotel</c:v>
                </c:pt>
                <c:pt idx="2">
                  <c:v>Restaurant</c:v>
                </c:pt>
                <c:pt idx="3">
                  <c:v>Supermarket</c:v>
                </c:pt>
              </c:strCache>
            </c:strRef>
          </c:cat>
          <c:val>
            <c:numRef>
              <c:f>'PIVOT TABLE'!$O$14:$O$18</c:f>
              <c:numCache>
                <c:formatCode>[$₦-468]\ #,##0</c:formatCode>
                <c:ptCount val="4"/>
                <c:pt idx="0">
                  <c:v>394940</c:v>
                </c:pt>
                <c:pt idx="1">
                  <c:v>224460</c:v>
                </c:pt>
                <c:pt idx="2">
                  <c:v>147000</c:v>
                </c:pt>
                <c:pt idx="3">
                  <c:v>49500</c:v>
                </c:pt>
              </c:numCache>
            </c:numRef>
          </c:val>
          <c:extLst>
            <c:ext xmlns:c16="http://schemas.microsoft.com/office/drawing/2014/chart" uri="{C3380CC4-5D6E-409C-BE32-E72D297353CC}">
              <c16:uniqueId val="{00000008-1B2A-44DA-A260-B37822FFCB63}"/>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withinLinearReversed" id="25">
  <a:schemeClr val="accent5"/>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image" Target="../media/image7.png"/><Relationship Id="rId18" Type="http://schemas.openxmlformats.org/officeDocument/2006/relationships/image" Target="../media/image12.svg"/><Relationship Id="rId26" Type="http://schemas.openxmlformats.org/officeDocument/2006/relationships/image" Target="../media/image20.png"/><Relationship Id="rId3" Type="http://schemas.openxmlformats.org/officeDocument/2006/relationships/chart" Target="../charts/chart9.xml"/><Relationship Id="rId21" Type="http://schemas.openxmlformats.org/officeDocument/2006/relationships/image" Target="../media/image15.png"/><Relationship Id="rId7" Type="http://schemas.openxmlformats.org/officeDocument/2006/relationships/image" Target="../media/image1.png"/><Relationship Id="rId12" Type="http://schemas.openxmlformats.org/officeDocument/2006/relationships/image" Target="../media/image6.png"/><Relationship Id="rId17" Type="http://schemas.openxmlformats.org/officeDocument/2006/relationships/image" Target="../media/image11.png"/><Relationship Id="rId25" Type="http://schemas.openxmlformats.org/officeDocument/2006/relationships/image" Target="../media/image19.png"/><Relationship Id="rId2" Type="http://schemas.openxmlformats.org/officeDocument/2006/relationships/chart" Target="../charts/chart8.xml"/><Relationship Id="rId16" Type="http://schemas.openxmlformats.org/officeDocument/2006/relationships/image" Target="../media/image10.svg"/><Relationship Id="rId20" Type="http://schemas.openxmlformats.org/officeDocument/2006/relationships/image" Target="../media/image14.svg"/><Relationship Id="rId1" Type="http://schemas.openxmlformats.org/officeDocument/2006/relationships/chart" Target="../charts/chart7.xml"/><Relationship Id="rId6" Type="http://schemas.openxmlformats.org/officeDocument/2006/relationships/chart" Target="../charts/chart12.xml"/><Relationship Id="rId11" Type="http://schemas.openxmlformats.org/officeDocument/2006/relationships/image" Target="../media/image5.png"/><Relationship Id="rId24" Type="http://schemas.openxmlformats.org/officeDocument/2006/relationships/image" Target="../media/image18.svg"/><Relationship Id="rId5" Type="http://schemas.openxmlformats.org/officeDocument/2006/relationships/chart" Target="../charts/chart11.xml"/><Relationship Id="rId15" Type="http://schemas.openxmlformats.org/officeDocument/2006/relationships/image" Target="../media/image9.png"/><Relationship Id="rId23" Type="http://schemas.openxmlformats.org/officeDocument/2006/relationships/image" Target="../media/image17.png"/><Relationship Id="rId10" Type="http://schemas.openxmlformats.org/officeDocument/2006/relationships/image" Target="../media/image4.png"/><Relationship Id="rId19" Type="http://schemas.openxmlformats.org/officeDocument/2006/relationships/image" Target="../media/image13.png"/><Relationship Id="rId4" Type="http://schemas.openxmlformats.org/officeDocument/2006/relationships/chart" Target="../charts/chart10.xml"/><Relationship Id="rId9" Type="http://schemas.openxmlformats.org/officeDocument/2006/relationships/image" Target="../media/image3.png"/><Relationship Id="rId14" Type="http://schemas.openxmlformats.org/officeDocument/2006/relationships/image" Target="../media/image8.svg"/><Relationship Id="rId22" Type="http://schemas.openxmlformats.org/officeDocument/2006/relationships/image" Target="../media/image16.svg"/><Relationship Id="rId27" Type="http://schemas.openxmlformats.org/officeDocument/2006/relationships/image" Target="../media/image21.png"/></Relationships>
</file>

<file path=xl/drawings/drawing1.xml><?xml version="1.0" encoding="utf-8"?>
<xdr:wsDr xmlns:xdr="http://schemas.openxmlformats.org/drawingml/2006/spreadsheetDrawing" xmlns:a="http://schemas.openxmlformats.org/drawingml/2006/main">
  <xdr:twoCellAnchor editAs="oneCell">
    <xdr:from>
      <xdr:col>15</xdr:col>
      <xdr:colOff>19050</xdr:colOff>
      <xdr:row>19</xdr:row>
      <xdr:rowOff>152401</xdr:rowOff>
    </xdr:from>
    <xdr:to>
      <xdr:col>18</xdr:col>
      <xdr:colOff>344804</xdr:colOff>
      <xdr:row>25</xdr:row>
      <xdr:rowOff>114300</xdr:rowOff>
    </xdr:to>
    <mc:AlternateContent xmlns:mc="http://schemas.openxmlformats.org/markup-compatibility/2006" xmlns:a14="http://schemas.microsoft.com/office/drawing/2010/main">
      <mc:Choice Requires="a14">
        <xdr:graphicFrame macro="">
          <xdr:nvGraphicFramePr>
            <xdr:cNvPr id="2" name="State">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3458825" y="3771901"/>
              <a:ext cx="2819399" cy="11048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238125</xdr:colOff>
      <xdr:row>14</xdr:row>
      <xdr:rowOff>57151</xdr:rowOff>
    </xdr:from>
    <xdr:to>
      <xdr:col>11</xdr:col>
      <xdr:colOff>120015</xdr:colOff>
      <xdr:row>21</xdr:row>
      <xdr:rowOff>114301</xdr:rowOff>
    </xdr:to>
    <mc:AlternateContent xmlns:mc="http://schemas.openxmlformats.org/markup-compatibility/2006" xmlns:a14="http://schemas.microsoft.com/office/drawing/2010/main">
      <mc:Choice Requires="a14">
        <xdr:graphicFrame macro="">
          <xdr:nvGraphicFramePr>
            <xdr:cNvPr id="3" name="Custormer type">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microsoft.com/office/drawing/2010/slicer">
              <sle:slicer xmlns:sle="http://schemas.microsoft.com/office/drawing/2010/slicer" name="Custormer type"/>
            </a:graphicData>
          </a:graphic>
        </xdr:graphicFrame>
      </mc:Choice>
      <mc:Fallback xmlns="">
        <xdr:sp macro="" textlink="">
          <xdr:nvSpPr>
            <xdr:cNvPr id="0" name=""/>
            <xdr:cNvSpPr>
              <a:spLocks noTextEdit="1"/>
            </xdr:cNvSpPr>
          </xdr:nvSpPr>
          <xdr:spPr>
            <a:xfrm>
              <a:off x="7639050" y="2724151"/>
              <a:ext cx="1781175" cy="1390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171450</xdr:colOff>
      <xdr:row>11</xdr:row>
      <xdr:rowOff>180976</xdr:rowOff>
    </xdr:from>
    <xdr:to>
      <xdr:col>17</xdr:col>
      <xdr:colOff>201930</xdr:colOff>
      <xdr:row>18</xdr:row>
      <xdr:rowOff>152400</xdr:rowOff>
    </xdr:to>
    <mc:AlternateContent xmlns:mc="http://schemas.openxmlformats.org/markup-compatibility/2006" xmlns:a14="http://schemas.microsoft.com/office/drawing/2010/main">
      <mc:Choice Requires="a14">
        <xdr:graphicFrame macro="">
          <xdr:nvGraphicFramePr>
            <xdr:cNvPr id="5" name="Sales Rep">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microsoft.com/office/drawing/2010/slicer">
              <sle:slicer xmlns:sle="http://schemas.microsoft.com/office/drawing/2010/slicer" name="Sales Rep"/>
            </a:graphicData>
          </a:graphic>
        </xdr:graphicFrame>
      </mc:Choice>
      <mc:Fallback xmlns="">
        <xdr:sp macro="" textlink="">
          <xdr:nvSpPr>
            <xdr:cNvPr id="0" name=""/>
            <xdr:cNvSpPr>
              <a:spLocks noTextEdit="1"/>
            </xdr:cNvSpPr>
          </xdr:nvSpPr>
          <xdr:spPr>
            <a:xfrm>
              <a:off x="12992100" y="2276476"/>
              <a:ext cx="1714500" cy="13049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47625</xdr:colOff>
      <xdr:row>28</xdr:row>
      <xdr:rowOff>114300</xdr:rowOff>
    </xdr:from>
    <xdr:to>
      <xdr:col>17</xdr:col>
      <xdr:colOff>135255</xdr:colOff>
      <xdr:row>36</xdr:row>
      <xdr:rowOff>66675</xdr:rowOff>
    </xdr:to>
    <mc:AlternateContent xmlns:mc="http://schemas.openxmlformats.org/markup-compatibility/2006" xmlns:a14="http://schemas.microsoft.com/office/drawing/2010/main">
      <mc:Choice Requires="a14">
        <xdr:graphicFrame macro="">
          <xdr:nvGraphicFramePr>
            <xdr:cNvPr id="7" name="ORDER DATE">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microsoft.com/office/drawing/2010/slicer">
              <sle:slicer xmlns:sle="http://schemas.microsoft.com/office/drawing/2010/slicer" name="ORDER DATE"/>
            </a:graphicData>
          </a:graphic>
        </xdr:graphicFrame>
      </mc:Choice>
      <mc:Fallback xmlns="">
        <xdr:sp macro="" textlink="">
          <xdr:nvSpPr>
            <xdr:cNvPr id="0" name=""/>
            <xdr:cNvSpPr>
              <a:spLocks noTextEdit="1"/>
            </xdr:cNvSpPr>
          </xdr:nvSpPr>
          <xdr:spPr>
            <a:xfrm>
              <a:off x="12868275" y="5448300"/>
              <a:ext cx="1771650" cy="1476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666750</xdr:colOff>
      <xdr:row>24</xdr:row>
      <xdr:rowOff>57150</xdr:rowOff>
    </xdr:from>
    <xdr:to>
      <xdr:col>14</xdr:col>
      <xdr:colOff>653415</xdr:colOff>
      <xdr:row>31</xdr:row>
      <xdr:rowOff>95250</xdr:rowOff>
    </xdr:to>
    <mc:AlternateContent xmlns:mc="http://schemas.openxmlformats.org/markup-compatibility/2006" xmlns:tsle="http://schemas.microsoft.com/office/drawing/2012/timeslicer">
      <mc:Choice Requires="tsle">
        <xdr:graphicFrame macro="">
          <xdr:nvGraphicFramePr>
            <xdr:cNvPr id="8" name="ORDER DATE 1">
              <a:extLst>
                <a:ext uri="{FF2B5EF4-FFF2-40B4-BE49-F238E27FC236}">
                  <a16:creationId xmlns:a16="http://schemas.microsoft.com/office/drawing/2014/main" id="{00000000-0008-0000-0000-000008000000}"/>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9963150" y="4629150"/>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16</xdr:col>
      <xdr:colOff>523874</xdr:colOff>
      <xdr:row>2</xdr:row>
      <xdr:rowOff>14287</xdr:rowOff>
    </xdr:from>
    <xdr:to>
      <xdr:col>22</xdr:col>
      <xdr:colOff>380999</xdr:colOff>
      <xdr:row>14</xdr:row>
      <xdr:rowOff>123825</xdr:rowOff>
    </xdr:to>
    <xdr:graphicFrame macro="">
      <xdr:nvGraphicFramePr>
        <xdr:cNvPr id="9" name="Chart 8">
          <a:extLst>
            <a:ext uri="{FF2B5EF4-FFF2-40B4-BE49-F238E27FC236}">
              <a16:creationId xmlns:a16="http://schemas.microsoft.com/office/drawing/2014/main" id="{00000000-0008-0000-00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381000</xdr:colOff>
      <xdr:row>16</xdr:row>
      <xdr:rowOff>100012</xdr:rowOff>
    </xdr:from>
    <xdr:to>
      <xdr:col>25</xdr:col>
      <xdr:colOff>514350</xdr:colOff>
      <xdr:row>30</xdr:row>
      <xdr:rowOff>176212</xdr:rowOff>
    </xdr:to>
    <xdr:graphicFrame macro="">
      <xdr:nvGraphicFramePr>
        <xdr:cNvPr id="10" name="Chart 9">
          <a:extLst>
            <a:ext uri="{FF2B5EF4-FFF2-40B4-BE49-F238E27FC236}">
              <a16:creationId xmlns:a16="http://schemas.microsoft.com/office/drawing/2014/main" id="{00000000-0008-0000-00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314325</xdr:colOff>
      <xdr:row>2</xdr:row>
      <xdr:rowOff>166687</xdr:rowOff>
    </xdr:from>
    <xdr:to>
      <xdr:col>30</xdr:col>
      <xdr:colOff>180975</xdr:colOff>
      <xdr:row>17</xdr:row>
      <xdr:rowOff>52387</xdr:rowOff>
    </xdr:to>
    <xdr:graphicFrame macro="">
      <xdr:nvGraphicFramePr>
        <xdr:cNvPr id="11" name="Chart 10">
          <a:extLst>
            <a:ext uri="{FF2B5EF4-FFF2-40B4-BE49-F238E27FC236}">
              <a16:creationId xmlns:a16="http://schemas.microsoft.com/office/drawing/2014/main" id="{00000000-0008-0000-00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133350</xdr:colOff>
      <xdr:row>11</xdr:row>
      <xdr:rowOff>71437</xdr:rowOff>
    </xdr:from>
    <xdr:to>
      <xdr:col>25</xdr:col>
      <xdr:colOff>438150</xdr:colOff>
      <xdr:row>25</xdr:row>
      <xdr:rowOff>147637</xdr:rowOff>
    </xdr:to>
    <xdr:graphicFrame macro="">
      <xdr:nvGraphicFramePr>
        <xdr:cNvPr id="12" name="Chart 11">
          <a:extLst>
            <a:ext uri="{FF2B5EF4-FFF2-40B4-BE49-F238E27FC236}">
              <a16:creationId xmlns:a16="http://schemas.microsoft.com/office/drawing/2014/main" id="{00000000-0008-0000-00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428625</xdr:colOff>
      <xdr:row>12</xdr:row>
      <xdr:rowOff>171450</xdr:rowOff>
    </xdr:from>
    <xdr:to>
      <xdr:col>21</xdr:col>
      <xdr:colOff>523875</xdr:colOff>
      <xdr:row>26</xdr:row>
      <xdr:rowOff>157162</xdr:rowOff>
    </xdr:to>
    <xdr:graphicFrame macro="">
      <xdr:nvGraphicFramePr>
        <xdr:cNvPr id="6" name="Chart 5">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762000</xdr:colOff>
      <xdr:row>7</xdr:row>
      <xdr:rowOff>33337</xdr:rowOff>
    </xdr:from>
    <xdr:to>
      <xdr:col>13</xdr:col>
      <xdr:colOff>342900</xdr:colOff>
      <xdr:row>21</xdr:row>
      <xdr:rowOff>109537</xdr:rowOff>
    </xdr:to>
    <xdr:graphicFrame macro="">
      <xdr:nvGraphicFramePr>
        <xdr:cNvPr id="13" name="Chart 12">
          <a:extLst>
            <a:ext uri="{FF2B5EF4-FFF2-40B4-BE49-F238E27FC236}">
              <a16:creationId xmlns:a16="http://schemas.microsoft.com/office/drawing/2014/main" id="{00000000-0008-0000-00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28575</xdr:colOff>
      <xdr:row>0</xdr:row>
      <xdr:rowOff>9525</xdr:rowOff>
    </xdr:from>
    <xdr:to>
      <xdr:col>20</xdr:col>
      <xdr:colOff>428625</xdr:colOff>
      <xdr:row>1</xdr:row>
      <xdr:rowOff>123825</xdr:rowOff>
    </xdr:to>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28575" y="9525"/>
          <a:ext cx="12592050" cy="304800"/>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bg1"/>
              </a:solidFill>
              <a:latin typeface="Times New Roman" panose="02020603050405020304" pitchFamily="18" charset="0"/>
              <a:cs typeface="Times New Roman" panose="02020603050405020304" pitchFamily="18" charset="0"/>
            </a:rPr>
            <a:t>WHOLESALE SOFT DRINKS</a:t>
          </a:r>
          <a:r>
            <a:rPr lang="en-US" sz="1400" b="1" baseline="0">
              <a:solidFill>
                <a:schemeClr val="bg1"/>
              </a:solidFill>
              <a:latin typeface="Times New Roman" panose="02020603050405020304" pitchFamily="18" charset="0"/>
              <a:cs typeface="Times New Roman" panose="02020603050405020304" pitchFamily="18" charset="0"/>
            </a:rPr>
            <a:t> SALES ANALYSIS DASHBAORD</a:t>
          </a:r>
          <a:endParaRPr lang="en-US" sz="14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editAs="oneCell">
    <xdr:from>
      <xdr:col>17</xdr:col>
      <xdr:colOff>247651</xdr:colOff>
      <xdr:row>6</xdr:row>
      <xdr:rowOff>47626</xdr:rowOff>
    </xdr:from>
    <xdr:to>
      <xdr:col>20</xdr:col>
      <xdr:colOff>361950</xdr:colOff>
      <xdr:row>11</xdr:row>
      <xdr:rowOff>9525</xdr:rowOff>
    </xdr:to>
    <mc:AlternateContent xmlns:mc="http://schemas.openxmlformats.org/markup-compatibility/2006" xmlns:a14="http://schemas.microsoft.com/office/drawing/2010/main">
      <mc:Choice Requires="a14">
        <xdr:graphicFrame macro="">
          <xdr:nvGraphicFramePr>
            <xdr:cNvPr id="6" name="State 1">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10610851" y="1190626"/>
              <a:ext cx="1943099" cy="9143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266700</xdr:colOff>
      <xdr:row>15</xdr:row>
      <xdr:rowOff>152399</xdr:rowOff>
    </xdr:from>
    <xdr:to>
      <xdr:col>20</xdr:col>
      <xdr:colOff>400050</xdr:colOff>
      <xdr:row>20</xdr:row>
      <xdr:rowOff>142874</xdr:rowOff>
    </xdr:to>
    <mc:AlternateContent xmlns:mc="http://schemas.openxmlformats.org/markup-compatibility/2006" xmlns:a14="http://schemas.microsoft.com/office/drawing/2010/main">
      <mc:Choice Requires="a14">
        <xdr:graphicFrame macro="">
          <xdr:nvGraphicFramePr>
            <xdr:cNvPr id="7" name="Custormer type 1">
              <a:extLst>
                <a:ext uri="{FF2B5EF4-FFF2-40B4-BE49-F238E27FC236}">
                  <a16:creationId xmlns:a16="http://schemas.microsoft.com/office/drawing/2014/main" id="{00000000-0008-0000-0100-000007000000}"/>
                </a:ext>
              </a:extLst>
            </xdr:cNvPr>
            <xdr:cNvGraphicFramePr/>
          </xdr:nvGraphicFramePr>
          <xdr:xfrm>
            <a:off x="0" y="0"/>
            <a:ext cx="0" cy="0"/>
          </xdr:xfrm>
          <a:graphic>
            <a:graphicData uri="http://schemas.microsoft.com/office/drawing/2010/slicer">
              <sle:slicer xmlns:sle="http://schemas.microsoft.com/office/drawing/2010/slicer" name="Custormer type 1"/>
            </a:graphicData>
          </a:graphic>
        </xdr:graphicFrame>
      </mc:Choice>
      <mc:Fallback xmlns="">
        <xdr:sp macro="" textlink="">
          <xdr:nvSpPr>
            <xdr:cNvPr id="0" name=""/>
            <xdr:cNvSpPr>
              <a:spLocks noTextEdit="1"/>
            </xdr:cNvSpPr>
          </xdr:nvSpPr>
          <xdr:spPr>
            <a:xfrm>
              <a:off x="10629900" y="3009899"/>
              <a:ext cx="1962150" cy="942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247650</xdr:colOff>
      <xdr:row>11</xdr:row>
      <xdr:rowOff>95250</xdr:rowOff>
    </xdr:from>
    <xdr:to>
      <xdr:col>20</xdr:col>
      <xdr:colOff>371475</xdr:colOff>
      <xdr:row>15</xdr:row>
      <xdr:rowOff>76200</xdr:rowOff>
    </xdr:to>
    <mc:AlternateContent xmlns:mc="http://schemas.openxmlformats.org/markup-compatibility/2006" xmlns:a14="http://schemas.microsoft.com/office/drawing/2010/main">
      <mc:Choice Requires="a14">
        <xdr:graphicFrame macro="">
          <xdr:nvGraphicFramePr>
            <xdr:cNvPr id="8" name="Payment Method 1">
              <a:extLst>
                <a:ext uri="{FF2B5EF4-FFF2-40B4-BE49-F238E27FC236}">
                  <a16:creationId xmlns:a16="http://schemas.microsoft.com/office/drawing/2014/main" id="{00000000-0008-0000-0100-000008000000}"/>
                </a:ext>
              </a:extLst>
            </xdr:cNvPr>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mlns="">
        <xdr:sp macro="" textlink="">
          <xdr:nvSpPr>
            <xdr:cNvPr id="0" name=""/>
            <xdr:cNvSpPr>
              <a:spLocks noTextEdit="1"/>
            </xdr:cNvSpPr>
          </xdr:nvSpPr>
          <xdr:spPr>
            <a:xfrm>
              <a:off x="10610850" y="2190750"/>
              <a:ext cx="1952625" cy="742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295274</xdr:colOff>
      <xdr:row>21</xdr:row>
      <xdr:rowOff>9525</xdr:rowOff>
    </xdr:from>
    <xdr:to>
      <xdr:col>20</xdr:col>
      <xdr:colOff>428625</xdr:colOff>
      <xdr:row>27</xdr:row>
      <xdr:rowOff>76200</xdr:rowOff>
    </xdr:to>
    <mc:AlternateContent xmlns:mc="http://schemas.openxmlformats.org/markup-compatibility/2006" xmlns:a14="http://schemas.microsoft.com/office/drawing/2010/main">
      <mc:Choice Requires="a14">
        <xdr:graphicFrame macro="">
          <xdr:nvGraphicFramePr>
            <xdr:cNvPr id="9" name="Sales Rep 1">
              <a:extLst>
                <a:ext uri="{FF2B5EF4-FFF2-40B4-BE49-F238E27FC236}">
                  <a16:creationId xmlns:a16="http://schemas.microsoft.com/office/drawing/2014/main" id="{00000000-0008-0000-0100-000009000000}"/>
                </a:ext>
              </a:extLst>
            </xdr:cNvPr>
            <xdr:cNvGraphicFramePr/>
          </xdr:nvGraphicFramePr>
          <xdr:xfrm>
            <a:off x="0" y="0"/>
            <a:ext cx="0" cy="0"/>
          </xdr:xfrm>
          <a:graphic>
            <a:graphicData uri="http://schemas.microsoft.com/office/drawing/2010/slicer">
              <sle:slicer xmlns:sle="http://schemas.microsoft.com/office/drawing/2010/slicer" name="Sales Rep 1"/>
            </a:graphicData>
          </a:graphic>
        </xdr:graphicFrame>
      </mc:Choice>
      <mc:Fallback xmlns="">
        <xdr:sp macro="" textlink="">
          <xdr:nvSpPr>
            <xdr:cNvPr id="0" name=""/>
            <xdr:cNvSpPr>
              <a:spLocks noTextEdit="1"/>
            </xdr:cNvSpPr>
          </xdr:nvSpPr>
          <xdr:spPr>
            <a:xfrm>
              <a:off x="10658474" y="4010025"/>
              <a:ext cx="1962151" cy="1209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137160</xdr:colOff>
      <xdr:row>1</xdr:row>
      <xdr:rowOff>144780</xdr:rowOff>
    </xdr:from>
    <xdr:to>
      <xdr:col>20</xdr:col>
      <xdr:colOff>327660</xdr:colOff>
      <xdr:row>5</xdr:row>
      <xdr:rowOff>175260</xdr:rowOff>
    </xdr:to>
    <mc:AlternateContent xmlns:mc="http://schemas.openxmlformats.org/markup-compatibility/2006" xmlns:tsle="http://schemas.microsoft.com/office/drawing/2012/timeslicer">
      <mc:Choice Requires="tsle">
        <xdr:graphicFrame macro="">
          <xdr:nvGraphicFramePr>
            <xdr:cNvPr id="10" name="ORDER DATE 2">
              <a:extLst>
                <a:ext uri="{FF2B5EF4-FFF2-40B4-BE49-F238E27FC236}">
                  <a16:creationId xmlns:a16="http://schemas.microsoft.com/office/drawing/2014/main" id="{00000000-0008-0000-0100-00000A000000}"/>
                </a:ext>
              </a:extLst>
            </xdr:cNvPr>
            <xdr:cNvGraphicFramePr/>
          </xdr:nvGraphicFramePr>
          <xdr:xfrm>
            <a:off x="0" y="0"/>
            <a:ext cx="0" cy="0"/>
          </xdr:xfrm>
          <a:graphic>
            <a:graphicData uri="http://schemas.microsoft.com/office/drawing/2012/timeslicer">
              <tsle:timeslicer name="ORDER DATE 2"/>
            </a:graphicData>
          </a:graphic>
        </xdr:graphicFrame>
      </mc:Choice>
      <mc:Fallback xmlns="">
        <xdr:sp macro="" textlink="">
          <xdr:nvSpPr>
            <xdr:cNvPr id="0" name=""/>
            <xdr:cNvSpPr>
              <a:spLocks noTextEdit="1"/>
            </xdr:cNvSpPr>
          </xdr:nvSpPr>
          <xdr:spPr>
            <a:xfrm>
              <a:off x="10500360" y="327660"/>
              <a:ext cx="2019300" cy="762000"/>
            </a:xfrm>
            <a:prstGeom prst="rect">
              <a:avLst/>
            </a:prstGeom>
            <a:solidFill>
              <a:prstClr val="white"/>
            </a:solidFill>
            <a:ln w="1">
              <a:solidFill>
                <a:prstClr val="green"/>
              </a:solidFill>
            </a:ln>
          </xdr:spPr>
          <xdr:txBody>
            <a:bodyPr vertOverflow="clip" horzOverflow="clip"/>
            <a:lstStyle/>
            <a:p>
              <a:r>
                <a:rPr lang="en-NG" sz="1100"/>
                <a:t>Timeline: Works in Excel 2013 or higher. Do not move or resize.</a:t>
              </a:r>
            </a:p>
          </xdr:txBody>
        </xdr:sp>
      </mc:Fallback>
    </mc:AlternateContent>
    <xdr:clientData/>
  </xdr:twoCellAnchor>
  <xdr:twoCellAnchor>
    <xdr:from>
      <xdr:col>0</xdr:col>
      <xdr:colOff>38100</xdr:colOff>
      <xdr:row>1</xdr:row>
      <xdr:rowOff>171449</xdr:rowOff>
    </xdr:from>
    <xdr:to>
      <xdr:col>2</xdr:col>
      <xdr:colOff>228600</xdr:colOff>
      <xdr:row>5</xdr:row>
      <xdr:rowOff>133350</xdr:rowOff>
    </xdr:to>
    <xdr:sp macro="" textlink="">
      <xdr:nvSpPr>
        <xdr:cNvPr id="13" name="Rounded Rectangle 12">
          <a:extLst>
            <a:ext uri="{FF2B5EF4-FFF2-40B4-BE49-F238E27FC236}">
              <a16:creationId xmlns:a16="http://schemas.microsoft.com/office/drawing/2014/main" id="{00000000-0008-0000-0100-00000D000000}"/>
            </a:ext>
          </a:extLst>
        </xdr:cNvPr>
        <xdr:cNvSpPr/>
      </xdr:nvSpPr>
      <xdr:spPr>
        <a:xfrm>
          <a:off x="38100" y="361949"/>
          <a:ext cx="1409700" cy="723901"/>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342900</xdr:colOff>
      <xdr:row>2</xdr:row>
      <xdr:rowOff>28573</xdr:rowOff>
    </xdr:from>
    <xdr:to>
      <xdr:col>13</xdr:col>
      <xdr:colOff>276225</xdr:colOff>
      <xdr:row>5</xdr:row>
      <xdr:rowOff>123824</xdr:rowOff>
    </xdr:to>
    <xdr:sp macro="" textlink="">
      <xdr:nvSpPr>
        <xdr:cNvPr id="15" name="Rounded Rectangle 14">
          <a:extLst>
            <a:ext uri="{FF2B5EF4-FFF2-40B4-BE49-F238E27FC236}">
              <a16:creationId xmlns:a16="http://schemas.microsoft.com/office/drawing/2014/main" id="{00000000-0008-0000-0100-00000F000000}"/>
            </a:ext>
          </a:extLst>
        </xdr:cNvPr>
        <xdr:cNvSpPr/>
      </xdr:nvSpPr>
      <xdr:spPr>
        <a:xfrm>
          <a:off x="6438900" y="409573"/>
          <a:ext cx="1762125" cy="666751"/>
        </a:xfrm>
        <a:prstGeom prst="roundRect">
          <a:avLst/>
        </a:prstGeom>
        <a:solidFill>
          <a:srgbClr val="4FCFCF"/>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76198</xdr:colOff>
      <xdr:row>2</xdr:row>
      <xdr:rowOff>0</xdr:rowOff>
    </xdr:from>
    <xdr:to>
      <xdr:col>10</xdr:col>
      <xdr:colOff>190499</xdr:colOff>
      <xdr:row>5</xdr:row>
      <xdr:rowOff>133350</xdr:rowOff>
    </xdr:to>
    <xdr:sp macro="" textlink="">
      <xdr:nvSpPr>
        <xdr:cNvPr id="16" name="Rounded Rectangle 15">
          <a:extLst>
            <a:ext uri="{FF2B5EF4-FFF2-40B4-BE49-F238E27FC236}">
              <a16:creationId xmlns:a16="http://schemas.microsoft.com/office/drawing/2014/main" id="{00000000-0008-0000-0100-000010000000}"/>
            </a:ext>
          </a:extLst>
        </xdr:cNvPr>
        <xdr:cNvSpPr/>
      </xdr:nvSpPr>
      <xdr:spPr>
        <a:xfrm>
          <a:off x="4952998" y="381000"/>
          <a:ext cx="1333501" cy="704850"/>
        </a:xfrm>
        <a:prstGeom prst="roundRect">
          <a:avLst/>
        </a:prstGeom>
        <a:solidFill>
          <a:schemeClr val="accent1">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238123</xdr:colOff>
      <xdr:row>2</xdr:row>
      <xdr:rowOff>9525</xdr:rowOff>
    </xdr:from>
    <xdr:to>
      <xdr:col>7</xdr:col>
      <xdr:colOff>581024</xdr:colOff>
      <xdr:row>5</xdr:row>
      <xdr:rowOff>142875</xdr:rowOff>
    </xdr:to>
    <xdr:sp macro="" textlink="">
      <xdr:nvSpPr>
        <xdr:cNvPr id="17" name="Rounded Rectangle 16">
          <a:extLst>
            <a:ext uri="{FF2B5EF4-FFF2-40B4-BE49-F238E27FC236}">
              <a16:creationId xmlns:a16="http://schemas.microsoft.com/office/drawing/2014/main" id="{00000000-0008-0000-0100-000011000000}"/>
            </a:ext>
          </a:extLst>
        </xdr:cNvPr>
        <xdr:cNvSpPr/>
      </xdr:nvSpPr>
      <xdr:spPr>
        <a:xfrm>
          <a:off x="3286123" y="390525"/>
          <a:ext cx="1562101" cy="704850"/>
        </a:xfrm>
        <a:prstGeom prst="roundRect">
          <a:avLst/>
        </a:prstGeom>
        <a:solidFill>
          <a:schemeClr val="accent4">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76200</xdr:colOff>
      <xdr:row>1</xdr:row>
      <xdr:rowOff>161924</xdr:rowOff>
    </xdr:from>
    <xdr:to>
      <xdr:col>2</xdr:col>
      <xdr:colOff>133350</xdr:colOff>
      <xdr:row>2</xdr:row>
      <xdr:rowOff>171449</xdr:rowOff>
    </xdr:to>
    <xdr:sp macro="" textlink="">
      <xdr:nvSpPr>
        <xdr:cNvPr id="18" name="TextBox 17">
          <a:extLst>
            <a:ext uri="{FF2B5EF4-FFF2-40B4-BE49-F238E27FC236}">
              <a16:creationId xmlns:a16="http://schemas.microsoft.com/office/drawing/2014/main" id="{00000000-0008-0000-0100-000012000000}"/>
            </a:ext>
          </a:extLst>
        </xdr:cNvPr>
        <xdr:cNvSpPr txBox="1"/>
      </xdr:nvSpPr>
      <xdr:spPr>
        <a:xfrm>
          <a:off x="76200" y="352424"/>
          <a:ext cx="1276350"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TOTAL </a:t>
          </a:r>
          <a:r>
            <a:rPr lang="en-US" sz="1100" b="1">
              <a:latin typeface="Times New Roman" panose="02020603050405020304" pitchFamily="18" charset="0"/>
              <a:cs typeface="Times New Roman" panose="02020603050405020304" pitchFamily="18" charset="0"/>
            </a:rPr>
            <a:t>REVENUE</a:t>
          </a:r>
        </a:p>
      </xdr:txBody>
    </xdr:sp>
    <xdr:clientData/>
  </xdr:twoCellAnchor>
  <xdr:twoCellAnchor>
    <xdr:from>
      <xdr:col>10</xdr:col>
      <xdr:colOff>457200</xdr:colOff>
      <xdr:row>2</xdr:row>
      <xdr:rowOff>28575</xdr:rowOff>
    </xdr:from>
    <xdr:to>
      <xdr:col>13</xdr:col>
      <xdr:colOff>104775</xdr:colOff>
      <xdr:row>3</xdr:row>
      <xdr:rowOff>95250</xdr:rowOff>
    </xdr:to>
    <xdr:sp macro="" textlink="">
      <xdr:nvSpPr>
        <xdr:cNvPr id="20" name="TextBox 19">
          <a:extLst>
            <a:ext uri="{FF2B5EF4-FFF2-40B4-BE49-F238E27FC236}">
              <a16:creationId xmlns:a16="http://schemas.microsoft.com/office/drawing/2014/main" id="{00000000-0008-0000-0100-000014000000}"/>
            </a:ext>
          </a:extLst>
        </xdr:cNvPr>
        <xdr:cNvSpPr txBox="1"/>
      </xdr:nvSpPr>
      <xdr:spPr>
        <a:xfrm>
          <a:off x="6553200" y="409575"/>
          <a:ext cx="14763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atin typeface="Times New Roman" panose="02020603050405020304" pitchFamily="18" charset="0"/>
              <a:cs typeface="Times New Roman" panose="02020603050405020304" pitchFamily="18" charset="0"/>
            </a:rPr>
            <a:t>NUM OF OREDERS</a:t>
          </a:r>
        </a:p>
      </xdr:txBody>
    </xdr:sp>
    <xdr:clientData/>
  </xdr:twoCellAnchor>
  <xdr:twoCellAnchor>
    <xdr:from>
      <xdr:col>8</xdr:col>
      <xdr:colOff>200024</xdr:colOff>
      <xdr:row>2</xdr:row>
      <xdr:rowOff>28575</xdr:rowOff>
    </xdr:from>
    <xdr:to>
      <xdr:col>10</xdr:col>
      <xdr:colOff>19049</xdr:colOff>
      <xdr:row>3</xdr:row>
      <xdr:rowOff>47625</xdr:rowOff>
    </xdr:to>
    <xdr:sp macro="" textlink="">
      <xdr:nvSpPr>
        <xdr:cNvPr id="21" name="TextBox 20">
          <a:extLst>
            <a:ext uri="{FF2B5EF4-FFF2-40B4-BE49-F238E27FC236}">
              <a16:creationId xmlns:a16="http://schemas.microsoft.com/office/drawing/2014/main" id="{00000000-0008-0000-0100-000015000000}"/>
            </a:ext>
          </a:extLst>
        </xdr:cNvPr>
        <xdr:cNvSpPr txBox="1"/>
      </xdr:nvSpPr>
      <xdr:spPr>
        <a:xfrm>
          <a:off x="5076824" y="409575"/>
          <a:ext cx="1038225"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atin typeface="Times New Roman" panose="02020603050405020304" pitchFamily="18" charset="0"/>
              <a:cs typeface="Times New Roman" panose="02020603050405020304" pitchFamily="18" charset="0"/>
            </a:rPr>
            <a:t>QTY SOLD</a:t>
          </a:r>
        </a:p>
      </xdr:txBody>
    </xdr:sp>
    <xdr:clientData/>
  </xdr:twoCellAnchor>
  <xdr:twoCellAnchor>
    <xdr:from>
      <xdr:col>5</xdr:col>
      <xdr:colOff>352425</xdr:colOff>
      <xdr:row>2</xdr:row>
      <xdr:rowOff>9525</xdr:rowOff>
    </xdr:from>
    <xdr:to>
      <xdr:col>7</xdr:col>
      <xdr:colOff>438150</xdr:colOff>
      <xdr:row>3</xdr:row>
      <xdr:rowOff>0</xdr:rowOff>
    </xdr:to>
    <xdr:sp macro="" textlink="">
      <xdr:nvSpPr>
        <xdr:cNvPr id="22" name="TextBox 21">
          <a:extLst>
            <a:ext uri="{FF2B5EF4-FFF2-40B4-BE49-F238E27FC236}">
              <a16:creationId xmlns:a16="http://schemas.microsoft.com/office/drawing/2014/main" id="{00000000-0008-0000-0100-000016000000}"/>
            </a:ext>
          </a:extLst>
        </xdr:cNvPr>
        <xdr:cNvSpPr txBox="1"/>
      </xdr:nvSpPr>
      <xdr:spPr>
        <a:xfrm>
          <a:off x="3400425" y="390525"/>
          <a:ext cx="1304925" cy="180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atin typeface="Times New Roman" panose="02020603050405020304" pitchFamily="18" charset="0"/>
              <a:cs typeface="Times New Roman" panose="02020603050405020304" pitchFamily="18" charset="0"/>
            </a:rPr>
            <a:t>TOTAL PROFIT</a:t>
          </a:r>
        </a:p>
      </xdr:txBody>
    </xdr:sp>
    <xdr:clientData/>
  </xdr:twoCellAnchor>
  <xdr:twoCellAnchor>
    <xdr:from>
      <xdr:col>0</xdr:col>
      <xdr:colOff>426720</xdr:colOff>
      <xdr:row>3</xdr:row>
      <xdr:rowOff>91440</xdr:rowOff>
    </xdr:from>
    <xdr:to>
      <xdr:col>2</xdr:col>
      <xdr:colOff>281940</xdr:colOff>
      <xdr:row>5</xdr:row>
      <xdr:rowOff>53340</xdr:rowOff>
    </xdr:to>
    <xdr:sp macro="" textlink="'PIVOT TABLE'!A14">
      <xdr:nvSpPr>
        <xdr:cNvPr id="24" name="TextBox 23">
          <a:extLst>
            <a:ext uri="{FF2B5EF4-FFF2-40B4-BE49-F238E27FC236}">
              <a16:creationId xmlns:a16="http://schemas.microsoft.com/office/drawing/2014/main" id="{00000000-0008-0000-0100-000018000000}"/>
            </a:ext>
          </a:extLst>
        </xdr:cNvPr>
        <xdr:cNvSpPr txBox="1"/>
      </xdr:nvSpPr>
      <xdr:spPr>
        <a:xfrm>
          <a:off x="426720" y="640080"/>
          <a:ext cx="10744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D4123DA-8BFF-4674-AC61-E2474F1E656A}" type="TxLink">
            <a:rPr lang="en-US" sz="1400" b="1" i="0" u="none" strike="noStrike">
              <a:solidFill>
                <a:srgbClr val="000000"/>
              </a:solidFill>
              <a:latin typeface="Times New Roman" panose="02020603050405020304" pitchFamily="18" charset="0"/>
              <a:cs typeface="Times New Roman" panose="02020603050405020304" pitchFamily="18" charset="0"/>
            </a:rPr>
            <a:pPr algn="ctr"/>
            <a:t>₦ 815,900</a:t>
          </a:fld>
          <a:endParaRPr lang="en-US" sz="1400" b="1">
            <a:latin typeface="Times New Roman" panose="02020603050405020304" pitchFamily="18" charset="0"/>
            <a:cs typeface="Times New Roman" panose="02020603050405020304" pitchFamily="18" charset="0"/>
          </a:endParaRPr>
        </a:p>
      </xdr:txBody>
    </xdr:sp>
    <xdr:clientData/>
  </xdr:twoCellAnchor>
  <xdr:twoCellAnchor>
    <xdr:from>
      <xdr:col>11</xdr:col>
      <xdr:colOff>257175</xdr:colOff>
      <xdr:row>3</xdr:row>
      <xdr:rowOff>51435</xdr:rowOff>
    </xdr:from>
    <xdr:to>
      <xdr:col>13</xdr:col>
      <xdr:colOff>400050</xdr:colOff>
      <xdr:row>4</xdr:row>
      <xdr:rowOff>139065</xdr:rowOff>
    </xdr:to>
    <xdr:sp macro="" textlink="'PIVOT TABLE'!N24">
      <xdr:nvSpPr>
        <xdr:cNvPr id="25" name="TextBox 24">
          <a:extLst>
            <a:ext uri="{FF2B5EF4-FFF2-40B4-BE49-F238E27FC236}">
              <a16:creationId xmlns:a16="http://schemas.microsoft.com/office/drawing/2014/main" id="{00000000-0008-0000-0100-000019000000}"/>
            </a:ext>
          </a:extLst>
        </xdr:cNvPr>
        <xdr:cNvSpPr txBox="1"/>
      </xdr:nvSpPr>
      <xdr:spPr>
        <a:xfrm>
          <a:off x="6962775" y="600075"/>
          <a:ext cx="1362075" cy="2705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A041096-1542-4FC5-B683-15B60C6D76DC}" type="TxLink">
            <a:rPr lang="en-US" sz="1600" b="1" i="0" u="none" strike="noStrike">
              <a:solidFill>
                <a:srgbClr val="000000"/>
              </a:solidFill>
              <a:latin typeface="Times New Roman" panose="02020603050405020304" pitchFamily="18" charset="0"/>
              <a:cs typeface="Times New Roman" panose="02020603050405020304" pitchFamily="18" charset="0"/>
            </a:rPr>
            <a:pPr algn="ctr"/>
            <a:t>22</a:t>
          </a:fld>
          <a:endParaRPr lang="en-US" sz="1600" b="1">
            <a:latin typeface="Times New Roman" panose="02020603050405020304" pitchFamily="18" charset="0"/>
            <a:cs typeface="Times New Roman" panose="02020603050405020304" pitchFamily="18" charset="0"/>
          </a:endParaRPr>
        </a:p>
      </xdr:txBody>
    </xdr:sp>
    <xdr:clientData/>
  </xdr:twoCellAnchor>
  <xdr:twoCellAnchor>
    <xdr:from>
      <xdr:col>8</xdr:col>
      <xdr:colOff>293370</xdr:colOff>
      <xdr:row>3</xdr:row>
      <xdr:rowOff>91439</xdr:rowOff>
    </xdr:from>
    <xdr:to>
      <xdr:col>10</xdr:col>
      <xdr:colOff>436245</xdr:colOff>
      <xdr:row>5</xdr:row>
      <xdr:rowOff>43814</xdr:rowOff>
    </xdr:to>
    <xdr:sp macro="" textlink="'PIVOT TABLE'!J26">
      <xdr:nvSpPr>
        <xdr:cNvPr id="26" name="TextBox 25">
          <a:extLst>
            <a:ext uri="{FF2B5EF4-FFF2-40B4-BE49-F238E27FC236}">
              <a16:creationId xmlns:a16="http://schemas.microsoft.com/office/drawing/2014/main" id="{00000000-0008-0000-0100-00001A000000}"/>
            </a:ext>
          </a:extLst>
        </xdr:cNvPr>
        <xdr:cNvSpPr txBox="1"/>
      </xdr:nvSpPr>
      <xdr:spPr>
        <a:xfrm>
          <a:off x="5170170" y="640079"/>
          <a:ext cx="1362075" cy="3181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FE50199-A37A-4CEE-9334-3980B08DEEDA}" type="TxLink">
            <a:rPr lang="en-US" sz="1600" b="1" i="0" u="none" strike="noStrike">
              <a:solidFill>
                <a:srgbClr val="000000"/>
              </a:solidFill>
              <a:latin typeface="Times New Roman" panose="02020603050405020304" pitchFamily="18" charset="0"/>
              <a:cs typeface="Times New Roman" panose="02020603050405020304" pitchFamily="18" charset="0"/>
            </a:rPr>
            <a:pPr algn="ctr"/>
            <a:t>1390</a:t>
          </a:fld>
          <a:endParaRPr lang="en-US" sz="1600" b="1">
            <a:latin typeface="Times New Roman" panose="02020603050405020304" pitchFamily="18" charset="0"/>
            <a:cs typeface="Times New Roman" panose="02020603050405020304" pitchFamily="18" charset="0"/>
          </a:endParaRPr>
        </a:p>
      </xdr:txBody>
    </xdr:sp>
    <xdr:clientData/>
  </xdr:twoCellAnchor>
  <xdr:twoCellAnchor>
    <xdr:from>
      <xdr:col>5</xdr:col>
      <xdr:colOff>565785</xdr:colOff>
      <xdr:row>3</xdr:row>
      <xdr:rowOff>102870</xdr:rowOff>
    </xdr:from>
    <xdr:to>
      <xdr:col>8</xdr:col>
      <xdr:colOff>184785</xdr:colOff>
      <xdr:row>5</xdr:row>
      <xdr:rowOff>15240</xdr:rowOff>
    </xdr:to>
    <xdr:sp macro="" textlink="'PIVOT TABLE'!A28">
      <xdr:nvSpPr>
        <xdr:cNvPr id="27" name="TextBox 26">
          <a:extLst>
            <a:ext uri="{FF2B5EF4-FFF2-40B4-BE49-F238E27FC236}">
              <a16:creationId xmlns:a16="http://schemas.microsoft.com/office/drawing/2014/main" id="{00000000-0008-0000-0100-00001B000000}"/>
            </a:ext>
          </a:extLst>
        </xdr:cNvPr>
        <xdr:cNvSpPr txBox="1"/>
      </xdr:nvSpPr>
      <xdr:spPr>
        <a:xfrm>
          <a:off x="3613785" y="651510"/>
          <a:ext cx="1447800" cy="2781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20BB2B1-BEC6-4DC2-8C33-2B25ED97302B}" type="TxLink">
            <a:rPr lang="en-US" sz="1400" b="1" i="0" u="none" strike="noStrike">
              <a:solidFill>
                <a:srgbClr val="000000"/>
              </a:solidFill>
              <a:latin typeface="Times New Roman" panose="02020603050405020304" pitchFamily="18" charset="0"/>
              <a:cs typeface="Times New Roman" panose="02020603050405020304" pitchFamily="18" charset="0"/>
            </a:rPr>
            <a:pPr algn="ctr"/>
            <a:t>₦ 247,600</a:t>
          </a:fld>
          <a:endParaRPr lang="en-US" sz="1400" b="1">
            <a:latin typeface="Times New Roman" panose="02020603050405020304" pitchFamily="18" charset="0"/>
            <a:cs typeface="Times New Roman" panose="02020603050405020304" pitchFamily="18" charset="0"/>
          </a:endParaRPr>
        </a:p>
      </xdr:txBody>
    </xdr:sp>
    <xdr:clientData/>
  </xdr:twoCellAnchor>
  <xdr:twoCellAnchor>
    <xdr:from>
      <xdr:col>13</xdr:col>
      <xdr:colOff>447674</xdr:colOff>
      <xdr:row>2</xdr:row>
      <xdr:rowOff>38099</xdr:rowOff>
    </xdr:from>
    <xdr:to>
      <xdr:col>16</xdr:col>
      <xdr:colOff>476249</xdr:colOff>
      <xdr:row>5</xdr:row>
      <xdr:rowOff>133350</xdr:rowOff>
    </xdr:to>
    <xdr:sp macro="" textlink="">
      <xdr:nvSpPr>
        <xdr:cNvPr id="28" name="Rounded Rectangle 27">
          <a:extLst>
            <a:ext uri="{FF2B5EF4-FFF2-40B4-BE49-F238E27FC236}">
              <a16:creationId xmlns:a16="http://schemas.microsoft.com/office/drawing/2014/main" id="{00000000-0008-0000-0100-00001C000000}"/>
            </a:ext>
          </a:extLst>
        </xdr:cNvPr>
        <xdr:cNvSpPr/>
      </xdr:nvSpPr>
      <xdr:spPr>
        <a:xfrm>
          <a:off x="8372474" y="419099"/>
          <a:ext cx="1857375" cy="666751"/>
        </a:xfrm>
        <a:prstGeom prst="roundRect">
          <a:avLst/>
        </a:prstGeom>
        <a:solidFill>
          <a:schemeClr val="bg2"/>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211455</xdr:colOff>
      <xdr:row>3</xdr:row>
      <xdr:rowOff>133351</xdr:rowOff>
    </xdr:from>
    <xdr:to>
      <xdr:col>16</xdr:col>
      <xdr:colOff>20955</xdr:colOff>
      <xdr:row>4</xdr:row>
      <xdr:rowOff>173355</xdr:rowOff>
    </xdr:to>
    <xdr:sp macro="" textlink="'PIVOT TABLE'!D31">
      <xdr:nvSpPr>
        <xdr:cNvPr id="29" name="TextBox 28">
          <a:extLst>
            <a:ext uri="{FF2B5EF4-FFF2-40B4-BE49-F238E27FC236}">
              <a16:creationId xmlns:a16="http://schemas.microsoft.com/office/drawing/2014/main" id="{00000000-0008-0000-0100-00001D000000}"/>
            </a:ext>
          </a:extLst>
        </xdr:cNvPr>
        <xdr:cNvSpPr txBox="1"/>
      </xdr:nvSpPr>
      <xdr:spPr>
        <a:xfrm>
          <a:off x="8745855" y="681991"/>
          <a:ext cx="1028700" cy="2228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ED887FF-9A04-4C87-828F-00078186C035}" type="TxLink">
            <a:rPr lang="en-US" sz="1100" b="1" i="0" u="none" strike="noStrike">
              <a:solidFill>
                <a:srgbClr val="000000"/>
              </a:solidFill>
              <a:latin typeface="Times New Roman" panose="02020603050405020304" pitchFamily="18" charset="0"/>
              <a:cs typeface="Times New Roman" panose="02020603050405020304" pitchFamily="18" charset="0"/>
            </a:rPr>
            <a:pPr/>
            <a:t>Coca-Cola 50cl</a:t>
          </a:fld>
          <a:endParaRPr lang="en-US" sz="1100" b="1">
            <a:latin typeface="Times New Roman" panose="02020603050405020304" pitchFamily="18" charset="0"/>
            <a:cs typeface="Times New Roman" panose="02020603050405020304" pitchFamily="18" charset="0"/>
          </a:endParaRPr>
        </a:p>
      </xdr:txBody>
    </xdr:sp>
    <xdr:clientData/>
  </xdr:twoCellAnchor>
  <xdr:twoCellAnchor>
    <xdr:from>
      <xdr:col>15</xdr:col>
      <xdr:colOff>558165</xdr:colOff>
      <xdr:row>3</xdr:row>
      <xdr:rowOff>102870</xdr:rowOff>
    </xdr:from>
    <xdr:to>
      <xdr:col>17</xdr:col>
      <xdr:colOff>43815</xdr:colOff>
      <xdr:row>4</xdr:row>
      <xdr:rowOff>140970</xdr:rowOff>
    </xdr:to>
    <xdr:sp macro="" textlink="'PIVOT TABLE'!D32">
      <xdr:nvSpPr>
        <xdr:cNvPr id="30" name="TextBox 29">
          <a:extLst>
            <a:ext uri="{FF2B5EF4-FFF2-40B4-BE49-F238E27FC236}">
              <a16:creationId xmlns:a16="http://schemas.microsoft.com/office/drawing/2014/main" id="{00000000-0008-0000-0100-00001E000000}"/>
            </a:ext>
          </a:extLst>
        </xdr:cNvPr>
        <xdr:cNvSpPr txBox="1"/>
      </xdr:nvSpPr>
      <xdr:spPr>
        <a:xfrm>
          <a:off x="9702165" y="651510"/>
          <a:ext cx="70485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5000F29-C957-4ED0-8196-9F092DB50059}" type="TxLink">
            <a:rPr lang="en-US" sz="1400" b="1" i="0" u="none" strike="noStrike">
              <a:solidFill>
                <a:srgbClr val="000000"/>
              </a:solidFill>
              <a:latin typeface="Times New Roman" panose="02020603050405020304" pitchFamily="18" charset="0"/>
              <a:cs typeface="Times New Roman" panose="02020603050405020304" pitchFamily="18" charset="0"/>
            </a:rPr>
            <a:pPr/>
            <a:t>254</a:t>
          </a:fld>
          <a:endParaRPr lang="en-US" sz="1400" b="1">
            <a:latin typeface="Times New Roman" panose="02020603050405020304" pitchFamily="18" charset="0"/>
            <a:cs typeface="Times New Roman" panose="02020603050405020304" pitchFamily="18" charset="0"/>
          </a:endParaRPr>
        </a:p>
      </xdr:txBody>
    </xdr:sp>
    <xdr:clientData/>
  </xdr:twoCellAnchor>
  <xdr:twoCellAnchor>
    <xdr:from>
      <xdr:col>13</xdr:col>
      <xdr:colOff>533400</xdr:colOff>
      <xdr:row>2</xdr:row>
      <xdr:rowOff>38100</xdr:rowOff>
    </xdr:from>
    <xdr:to>
      <xdr:col>16</xdr:col>
      <xdr:colOff>438150</xdr:colOff>
      <xdr:row>3</xdr:row>
      <xdr:rowOff>104775</xdr:rowOff>
    </xdr:to>
    <xdr:sp macro="" textlink="">
      <xdr:nvSpPr>
        <xdr:cNvPr id="31" name="TextBox 30">
          <a:extLst>
            <a:ext uri="{FF2B5EF4-FFF2-40B4-BE49-F238E27FC236}">
              <a16:creationId xmlns:a16="http://schemas.microsoft.com/office/drawing/2014/main" id="{00000000-0008-0000-0100-00001F000000}"/>
            </a:ext>
          </a:extLst>
        </xdr:cNvPr>
        <xdr:cNvSpPr txBox="1"/>
      </xdr:nvSpPr>
      <xdr:spPr>
        <a:xfrm>
          <a:off x="8458200" y="419100"/>
          <a:ext cx="173355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atin typeface="Times New Roman" panose="02020603050405020304" pitchFamily="18" charset="0"/>
              <a:cs typeface="Times New Roman" panose="02020603050405020304" pitchFamily="18" charset="0"/>
            </a:rPr>
            <a:t>BEST SOLD PRODUCT</a:t>
          </a:r>
        </a:p>
      </xdr:txBody>
    </xdr:sp>
    <xdr:clientData/>
  </xdr:twoCellAnchor>
  <xdr:twoCellAnchor>
    <xdr:from>
      <xdr:col>6</xdr:col>
      <xdr:colOff>19050</xdr:colOff>
      <xdr:row>7</xdr:row>
      <xdr:rowOff>85728</xdr:rowOff>
    </xdr:from>
    <xdr:to>
      <xdr:col>12</xdr:col>
      <xdr:colOff>219075</xdr:colOff>
      <xdr:row>14</xdr:row>
      <xdr:rowOff>66675</xdr:rowOff>
    </xdr:to>
    <xdr:graphicFrame macro="">
      <xdr:nvGraphicFramePr>
        <xdr:cNvPr id="32" name="Chart 31">
          <a:extLst>
            <a:ext uri="{FF2B5EF4-FFF2-40B4-BE49-F238E27FC236}">
              <a16:creationId xmlns:a16="http://schemas.microsoft.com/office/drawing/2014/main" id="{00000000-0008-0000-01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38099</xdr:colOff>
      <xdr:row>15</xdr:row>
      <xdr:rowOff>142875</xdr:rowOff>
    </xdr:from>
    <xdr:to>
      <xdr:col>5</xdr:col>
      <xdr:colOff>504825</xdr:colOff>
      <xdr:row>23</xdr:row>
      <xdr:rowOff>152400</xdr:rowOff>
    </xdr:to>
    <xdr:graphicFrame macro="">
      <xdr:nvGraphicFramePr>
        <xdr:cNvPr id="33" name="Chart 32">
          <a:extLst>
            <a:ext uri="{FF2B5EF4-FFF2-40B4-BE49-F238E27FC236}">
              <a16:creationId xmlns:a16="http://schemas.microsoft.com/office/drawing/2014/main" id="{00000000-0008-0000-01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7</xdr:row>
      <xdr:rowOff>28576</xdr:rowOff>
    </xdr:from>
    <xdr:to>
      <xdr:col>5</xdr:col>
      <xdr:colOff>523874</xdr:colOff>
      <xdr:row>14</xdr:row>
      <xdr:rowOff>66675</xdr:rowOff>
    </xdr:to>
    <xdr:graphicFrame macro="">
      <xdr:nvGraphicFramePr>
        <xdr:cNvPr id="34" name="Chart 33">
          <a:extLst>
            <a:ext uri="{FF2B5EF4-FFF2-40B4-BE49-F238E27FC236}">
              <a16:creationId xmlns:a16="http://schemas.microsoft.com/office/drawing/2014/main" id="{00000000-0008-0000-01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304800</xdr:colOff>
      <xdr:row>7</xdr:row>
      <xdr:rowOff>114300</xdr:rowOff>
    </xdr:from>
    <xdr:to>
      <xdr:col>17</xdr:col>
      <xdr:colOff>171450</xdr:colOff>
      <xdr:row>14</xdr:row>
      <xdr:rowOff>95250</xdr:rowOff>
    </xdr:to>
    <xdr:graphicFrame macro="">
      <xdr:nvGraphicFramePr>
        <xdr:cNvPr id="35" name="Chart 34">
          <a:extLst>
            <a:ext uri="{FF2B5EF4-FFF2-40B4-BE49-F238E27FC236}">
              <a16:creationId xmlns:a16="http://schemas.microsoft.com/office/drawing/2014/main" id="{00000000-0008-0000-01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390525</xdr:colOff>
      <xdr:row>2</xdr:row>
      <xdr:rowOff>0</xdr:rowOff>
    </xdr:from>
    <xdr:to>
      <xdr:col>5</xdr:col>
      <xdr:colOff>114300</xdr:colOff>
      <xdr:row>5</xdr:row>
      <xdr:rowOff>152400</xdr:rowOff>
    </xdr:to>
    <xdr:sp macro="" textlink="">
      <xdr:nvSpPr>
        <xdr:cNvPr id="14" name="Rounded Rectangle 13">
          <a:extLst>
            <a:ext uri="{FF2B5EF4-FFF2-40B4-BE49-F238E27FC236}">
              <a16:creationId xmlns:a16="http://schemas.microsoft.com/office/drawing/2014/main" id="{00000000-0008-0000-0100-00000E000000}"/>
            </a:ext>
          </a:extLst>
        </xdr:cNvPr>
        <xdr:cNvSpPr/>
      </xdr:nvSpPr>
      <xdr:spPr>
        <a:xfrm>
          <a:off x="1609725" y="381000"/>
          <a:ext cx="1552575" cy="723900"/>
        </a:xfrm>
        <a:prstGeom prst="roundRect">
          <a:avLst/>
        </a:prstGeom>
        <a:solidFill>
          <a:schemeClr val="accent6">
            <a:lumMod val="20000"/>
            <a:lumOff val="80000"/>
          </a:schemeClr>
        </a:solidFill>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533400</xdr:colOff>
      <xdr:row>1</xdr:row>
      <xdr:rowOff>171449</xdr:rowOff>
    </xdr:from>
    <xdr:to>
      <xdr:col>5</xdr:col>
      <xdr:colOff>152399</xdr:colOff>
      <xdr:row>3</xdr:row>
      <xdr:rowOff>85725</xdr:rowOff>
    </xdr:to>
    <xdr:sp macro="" textlink="">
      <xdr:nvSpPr>
        <xdr:cNvPr id="19" name="TextBox 18">
          <a:extLst>
            <a:ext uri="{FF2B5EF4-FFF2-40B4-BE49-F238E27FC236}">
              <a16:creationId xmlns:a16="http://schemas.microsoft.com/office/drawing/2014/main" id="{00000000-0008-0000-0100-000013000000}"/>
            </a:ext>
          </a:extLst>
        </xdr:cNvPr>
        <xdr:cNvSpPr txBox="1"/>
      </xdr:nvSpPr>
      <xdr:spPr>
        <a:xfrm>
          <a:off x="1752600" y="361949"/>
          <a:ext cx="1447799" cy="295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atin typeface="Times New Roman" panose="02020603050405020304" pitchFamily="18" charset="0"/>
              <a:cs typeface="Times New Roman" panose="02020603050405020304" pitchFamily="18" charset="0"/>
            </a:rPr>
            <a:t>TOTAL EXPENSES</a:t>
          </a:r>
        </a:p>
      </xdr:txBody>
    </xdr:sp>
    <xdr:clientData/>
  </xdr:twoCellAnchor>
  <xdr:twoCellAnchor>
    <xdr:from>
      <xdr:col>3</xdr:col>
      <xdr:colOff>331470</xdr:colOff>
      <xdr:row>3</xdr:row>
      <xdr:rowOff>49530</xdr:rowOff>
    </xdr:from>
    <xdr:to>
      <xdr:col>5</xdr:col>
      <xdr:colOff>331470</xdr:colOff>
      <xdr:row>4</xdr:row>
      <xdr:rowOff>125730</xdr:rowOff>
    </xdr:to>
    <xdr:sp macro="" textlink="'PIVOT TABLE'!G43">
      <xdr:nvSpPr>
        <xdr:cNvPr id="23" name="TextBox 22">
          <a:extLst>
            <a:ext uri="{FF2B5EF4-FFF2-40B4-BE49-F238E27FC236}">
              <a16:creationId xmlns:a16="http://schemas.microsoft.com/office/drawing/2014/main" id="{00000000-0008-0000-0100-000017000000}"/>
            </a:ext>
          </a:extLst>
        </xdr:cNvPr>
        <xdr:cNvSpPr txBox="1"/>
      </xdr:nvSpPr>
      <xdr:spPr>
        <a:xfrm>
          <a:off x="2160270" y="598170"/>
          <a:ext cx="121920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7932498-897B-45E5-86E7-5196E75C6F57}" type="TxLink">
            <a:rPr lang="en-US" sz="1400" b="1" i="0" u="none" strike="noStrike">
              <a:solidFill>
                <a:srgbClr val="000000"/>
              </a:solidFill>
              <a:latin typeface="Times New Roman" panose="02020603050405020304" pitchFamily="18" charset="0"/>
              <a:cs typeface="Times New Roman" panose="02020603050405020304" pitchFamily="18" charset="0"/>
            </a:rPr>
            <a:pPr/>
            <a:t>₦ 568,300</a:t>
          </a:fld>
          <a:endParaRPr lang="en-US" sz="1400" b="1">
            <a:latin typeface="Times New Roman" panose="02020603050405020304" pitchFamily="18" charset="0"/>
            <a:cs typeface="Times New Roman" panose="02020603050405020304" pitchFamily="18" charset="0"/>
          </a:endParaRPr>
        </a:p>
      </xdr:txBody>
    </xdr:sp>
    <xdr:clientData/>
  </xdr:twoCellAnchor>
  <xdr:twoCellAnchor>
    <xdr:from>
      <xdr:col>0</xdr:col>
      <xdr:colOff>9525</xdr:colOff>
      <xdr:row>5</xdr:row>
      <xdr:rowOff>180975</xdr:rowOff>
    </xdr:from>
    <xdr:to>
      <xdr:col>5</xdr:col>
      <xdr:colOff>533400</xdr:colOff>
      <xdr:row>7</xdr:row>
      <xdr:rowOff>9525</xdr:rowOff>
    </xdr:to>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9525" y="1133475"/>
          <a:ext cx="3571875" cy="209550"/>
        </a:xfrm>
        <a:prstGeom prst="rect">
          <a:avLst/>
        </a:prstGeom>
        <a:solidFill>
          <a:srgbClr val="00206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rPr>
            <a:t>MONTHLY</a:t>
          </a:r>
          <a:r>
            <a:rPr lang="en-US" sz="1100" b="1" baseline="0">
              <a:solidFill>
                <a:schemeClr val="bg1"/>
              </a:solidFill>
            </a:rPr>
            <a:t> SALES</a:t>
          </a:r>
          <a:endParaRPr lang="en-US" sz="1100" b="1">
            <a:solidFill>
              <a:schemeClr val="bg1"/>
            </a:solidFill>
          </a:endParaRPr>
        </a:p>
      </xdr:txBody>
    </xdr:sp>
    <xdr:clientData/>
  </xdr:twoCellAnchor>
  <xdr:twoCellAnchor>
    <xdr:from>
      <xdr:col>6</xdr:col>
      <xdr:colOff>19050</xdr:colOff>
      <xdr:row>5</xdr:row>
      <xdr:rowOff>190499</xdr:rowOff>
    </xdr:from>
    <xdr:to>
      <xdr:col>12</xdr:col>
      <xdr:colOff>219076</xdr:colOff>
      <xdr:row>7</xdr:row>
      <xdr:rowOff>57150</xdr:rowOff>
    </xdr:to>
    <xdr:sp macro="" textlink="">
      <xdr:nvSpPr>
        <xdr:cNvPr id="5" name="TextBox 4">
          <a:extLst>
            <a:ext uri="{FF2B5EF4-FFF2-40B4-BE49-F238E27FC236}">
              <a16:creationId xmlns:a16="http://schemas.microsoft.com/office/drawing/2014/main" id="{00000000-0008-0000-0100-000005000000}"/>
            </a:ext>
          </a:extLst>
        </xdr:cNvPr>
        <xdr:cNvSpPr txBox="1"/>
      </xdr:nvSpPr>
      <xdr:spPr>
        <a:xfrm>
          <a:off x="3676650" y="1142999"/>
          <a:ext cx="3857626" cy="247651"/>
        </a:xfrm>
        <a:prstGeom prst="rect">
          <a:avLst/>
        </a:prstGeom>
        <a:solidFill>
          <a:srgbClr val="00206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rPr>
            <a:t>TOP</a:t>
          </a:r>
          <a:r>
            <a:rPr lang="en-US" sz="1100" b="1" baseline="0">
              <a:solidFill>
                <a:schemeClr val="bg1"/>
              </a:solidFill>
            </a:rPr>
            <a:t> BEST SELLING PRODUCTS</a:t>
          </a:r>
          <a:endParaRPr lang="en-US" sz="1100" b="1">
            <a:solidFill>
              <a:schemeClr val="bg1"/>
            </a:solidFill>
          </a:endParaRPr>
        </a:p>
      </xdr:txBody>
    </xdr:sp>
    <xdr:clientData/>
  </xdr:twoCellAnchor>
  <xdr:twoCellAnchor>
    <xdr:from>
      <xdr:col>12</xdr:col>
      <xdr:colOff>295275</xdr:colOff>
      <xdr:row>6</xdr:row>
      <xdr:rowOff>0</xdr:rowOff>
    </xdr:from>
    <xdr:to>
      <xdr:col>17</xdr:col>
      <xdr:colOff>161924</xdr:colOff>
      <xdr:row>7</xdr:row>
      <xdr:rowOff>76200</xdr:rowOff>
    </xdr:to>
    <xdr:sp macro="" textlink="">
      <xdr:nvSpPr>
        <xdr:cNvPr id="36" name="TextBox 35">
          <a:extLst>
            <a:ext uri="{FF2B5EF4-FFF2-40B4-BE49-F238E27FC236}">
              <a16:creationId xmlns:a16="http://schemas.microsoft.com/office/drawing/2014/main" id="{00000000-0008-0000-0100-000024000000}"/>
            </a:ext>
          </a:extLst>
        </xdr:cNvPr>
        <xdr:cNvSpPr txBox="1"/>
      </xdr:nvSpPr>
      <xdr:spPr>
        <a:xfrm>
          <a:off x="7610475" y="1143000"/>
          <a:ext cx="2914649" cy="266700"/>
        </a:xfrm>
        <a:prstGeom prst="rect">
          <a:avLst/>
        </a:prstGeom>
        <a:solidFill>
          <a:srgbClr val="00206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rPr>
            <a:t>SALES BY PAYMENT</a:t>
          </a:r>
          <a:r>
            <a:rPr lang="en-US" sz="1100" b="1" baseline="0">
              <a:solidFill>
                <a:schemeClr val="bg1"/>
              </a:solidFill>
            </a:rPr>
            <a:t> METHOD</a:t>
          </a:r>
          <a:endParaRPr lang="en-US" sz="1100" b="1">
            <a:solidFill>
              <a:schemeClr val="bg1"/>
            </a:solidFill>
          </a:endParaRPr>
        </a:p>
      </xdr:txBody>
    </xdr:sp>
    <xdr:clientData/>
  </xdr:twoCellAnchor>
  <xdr:oneCellAnchor>
    <xdr:from>
      <xdr:col>0</xdr:col>
      <xdr:colOff>66675</xdr:colOff>
      <xdr:row>15</xdr:row>
      <xdr:rowOff>142875</xdr:rowOff>
    </xdr:from>
    <xdr:ext cx="184731" cy="264560"/>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66675" y="31908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0</xdr:col>
      <xdr:colOff>19050</xdr:colOff>
      <xdr:row>14</xdr:row>
      <xdr:rowOff>85724</xdr:rowOff>
    </xdr:from>
    <xdr:to>
      <xdr:col>5</xdr:col>
      <xdr:colOff>504825</xdr:colOff>
      <xdr:row>15</xdr:row>
      <xdr:rowOff>114299</xdr:rowOff>
    </xdr:to>
    <xdr:sp macro="" textlink="">
      <xdr:nvSpPr>
        <xdr:cNvPr id="11" name="TextBox 10">
          <a:extLst>
            <a:ext uri="{FF2B5EF4-FFF2-40B4-BE49-F238E27FC236}">
              <a16:creationId xmlns:a16="http://schemas.microsoft.com/office/drawing/2014/main" id="{00000000-0008-0000-0100-00000B000000}"/>
            </a:ext>
          </a:extLst>
        </xdr:cNvPr>
        <xdr:cNvSpPr txBox="1"/>
      </xdr:nvSpPr>
      <xdr:spPr>
        <a:xfrm>
          <a:off x="19050" y="2752724"/>
          <a:ext cx="3533775" cy="219075"/>
        </a:xfrm>
        <a:prstGeom prst="rect">
          <a:avLst/>
        </a:prstGeom>
        <a:solidFill>
          <a:srgbClr val="00206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rPr>
            <a:t>PROFIT</a:t>
          </a:r>
          <a:r>
            <a:rPr lang="en-US" sz="1100" b="1" baseline="0">
              <a:solidFill>
                <a:schemeClr val="bg1"/>
              </a:solidFill>
            </a:rPr>
            <a:t> BY BAND</a:t>
          </a:r>
          <a:endParaRPr lang="en-US" sz="1100" b="1">
            <a:solidFill>
              <a:schemeClr val="bg1"/>
            </a:solidFill>
          </a:endParaRPr>
        </a:p>
      </xdr:txBody>
    </xdr:sp>
    <xdr:clientData/>
  </xdr:twoCellAnchor>
  <xdr:twoCellAnchor>
    <xdr:from>
      <xdr:col>6</xdr:col>
      <xdr:colOff>38100</xdr:colOff>
      <xdr:row>14</xdr:row>
      <xdr:rowOff>104775</xdr:rowOff>
    </xdr:from>
    <xdr:to>
      <xdr:col>12</xdr:col>
      <xdr:colOff>209550</xdr:colOff>
      <xdr:row>15</xdr:row>
      <xdr:rowOff>142875</xdr:rowOff>
    </xdr:to>
    <xdr:sp macro="" textlink="">
      <xdr:nvSpPr>
        <xdr:cNvPr id="12" name="TextBox 11">
          <a:extLst>
            <a:ext uri="{FF2B5EF4-FFF2-40B4-BE49-F238E27FC236}">
              <a16:creationId xmlns:a16="http://schemas.microsoft.com/office/drawing/2014/main" id="{00000000-0008-0000-0100-00000C000000}"/>
            </a:ext>
          </a:extLst>
        </xdr:cNvPr>
        <xdr:cNvSpPr txBox="1"/>
      </xdr:nvSpPr>
      <xdr:spPr>
        <a:xfrm>
          <a:off x="3695700" y="2771775"/>
          <a:ext cx="3829050" cy="228600"/>
        </a:xfrm>
        <a:prstGeom prst="rect">
          <a:avLst/>
        </a:prstGeom>
        <a:solidFill>
          <a:srgbClr val="00206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rPr>
            <a:t>SALES BY TYPE</a:t>
          </a:r>
        </a:p>
      </xdr:txBody>
    </xdr:sp>
    <xdr:clientData/>
  </xdr:twoCellAnchor>
  <xdr:twoCellAnchor>
    <xdr:from>
      <xdr:col>12</xdr:col>
      <xdr:colOff>304800</xdr:colOff>
      <xdr:row>15</xdr:row>
      <xdr:rowOff>180975</xdr:rowOff>
    </xdr:from>
    <xdr:to>
      <xdr:col>17</xdr:col>
      <xdr:colOff>209550</xdr:colOff>
      <xdr:row>23</xdr:row>
      <xdr:rowOff>133350</xdr:rowOff>
    </xdr:to>
    <xdr:graphicFrame macro="">
      <xdr:nvGraphicFramePr>
        <xdr:cNvPr id="38" name="Chart 37">
          <a:extLst>
            <a:ext uri="{FF2B5EF4-FFF2-40B4-BE49-F238E27FC236}">
              <a16:creationId xmlns:a16="http://schemas.microsoft.com/office/drawing/2014/main" id="{00000000-0008-0000-0100-00002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295275</xdr:colOff>
      <xdr:row>14</xdr:row>
      <xdr:rowOff>142875</xdr:rowOff>
    </xdr:from>
    <xdr:to>
      <xdr:col>17</xdr:col>
      <xdr:colOff>190500</xdr:colOff>
      <xdr:row>15</xdr:row>
      <xdr:rowOff>152400</xdr:rowOff>
    </xdr:to>
    <xdr:sp macro="" textlink="">
      <xdr:nvSpPr>
        <xdr:cNvPr id="40" name="TextBox 39">
          <a:extLst>
            <a:ext uri="{FF2B5EF4-FFF2-40B4-BE49-F238E27FC236}">
              <a16:creationId xmlns:a16="http://schemas.microsoft.com/office/drawing/2014/main" id="{00000000-0008-0000-0100-000028000000}"/>
            </a:ext>
          </a:extLst>
        </xdr:cNvPr>
        <xdr:cNvSpPr txBox="1"/>
      </xdr:nvSpPr>
      <xdr:spPr>
        <a:xfrm>
          <a:off x="7610475" y="2809875"/>
          <a:ext cx="2943225" cy="200025"/>
        </a:xfrm>
        <a:prstGeom prst="rect">
          <a:avLst/>
        </a:prstGeom>
        <a:solidFill>
          <a:srgbClr val="00206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rPr>
            <a:t>SALES</a:t>
          </a:r>
          <a:r>
            <a:rPr lang="en-US" sz="1100" b="1" baseline="0">
              <a:solidFill>
                <a:schemeClr val="bg1"/>
              </a:solidFill>
            </a:rPr>
            <a:t> BY REGION</a:t>
          </a:r>
          <a:endParaRPr lang="en-US" sz="1100" b="1">
            <a:solidFill>
              <a:schemeClr val="bg1"/>
            </a:solidFill>
          </a:endParaRPr>
        </a:p>
      </xdr:txBody>
    </xdr:sp>
    <xdr:clientData/>
  </xdr:twoCellAnchor>
  <xdr:twoCellAnchor>
    <xdr:from>
      <xdr:col>6</xdr:col>
      <xdr:colOff>45719</xdr:colOff>
      <xdr:row>16</xdr:row>
      <xdr:rowOff>22860</xdr:rowOff>
    </xdr:from>
    <xdr:to>
      <xdr:col>12</xdr:col>
      <xdr:colOff>175260</xdr:colOff>
      <xdr:row>23</xdr:row>
      <xdr:rowOff>137160</xdr:rowOff>
    </xdr:to>
    <xdr:graphicFrame macro="">
      <xdr:nvGraphicFramePr>
        <xdr:cNvPr id="41" name="Chart 40">
          <a:extLst>
            <a:ext uri="{FF2B5EF4-FFF2-40B4-BE49-F238E27FC236}">
              <a16:creationId xmlns:a16="http://schemas.microsoft.com/office/drawing/2014/main" id="{00000000-0008-0000-0100-00002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5</xdr:col>
      <xdr:colOff>426719</xdr:colOff>
      <xdr:row>0</xdr:row>
      <xdr:rowOff>22859</xdr:rowOff>
    </xdr:from>
    <xdr:to>
      <xdr:col>6</xdr:col>
      <xdr:colOff>83820</xdr:colOff>
      <xdr:row>1</xdr:row>
      <xdr:rowOff>106680</xdr:rowOff>
    </xdr:to>
    <xdr:pic>
      <xdr:nvPicPr>
        <xdr:cNvPr id="39" name="Picture 38">
          <a:extLst>
            <a:ext uri="{FF2B5EF4-FFF2-40B4-BE49-F238E27FC236}">
              <a16:creationId xmlns:a16="http://schemas.microsoft.com/office/drawing/2014/main" id="{95E2324E-734A-D441-0C26-9999D331E1C8}"/>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3474719" y="22859"/>
          <a:ext cx="266701" cy="266701"/>
        </a:xfrm>
        <a:prstGeom prst="rect">
          <a:avLst/>
        </a:prstGeom>
      </xdr:spPr>
    </xdr:pic>
    <xdr:clientData/>
  </xdr:twoCellAnchor>
  <xdr:twoCellAnchor editAs="oneCell">
    <xdr:from>
      <xdr:col>4</xdr:col>
      <xdr:colOff>449529</xdr:colOff>
      <xdr:row>0</xdr:row>
      <xdr:rowOff>22860</xdr:rowOff>
    </xdr:from>
    <xdr:to>
      <xdr:col>5</xdr:col>
      <xdr:colOff>68580</xdr:colOff>
      <xdr:row>1</xdr:row>
      <xdr:rowOff>104081</xdr:rowOff>
    </xdr:to>
    <xdr:pic>
      <xdr:nvPicPr>
        <xdr:cNvPr id="43" name="Picture 42">
          <a:extLst>
            <a:ext uri="{FF2B5EF4-FFF2-40B4-BE49-F238E27FC236}">
              <a16:creationId xmlns:a16="http://schemas.microsoft.com/office/drawing/2014/main" id="{69310CF3-C9A8-9B0A-F1B1-AEED3F8036E8}"/>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2887929" y="22860"/>
          <a:ext cx="228651" cy="264101"/>
        </a:xfrm>
        <a:prstGeom prst="rect">
          <a:avLst/>
        </a:prstGeom>
      </xdr:spPr>
    </xdr:pic>
    <xdr:clientData/>
  </xdr:twoCellAnchor>
  <xdr:twoCellAnchor editAs="oneCell">
    <xdr:from>
      <xdr:col>14</xdr:col>
      <xdr:colOff>403860</xdr:colOff>
      <xdr:row>0</xdr:row>
      <xdr:rowOff>7620</xdr:rowOff>
    </xdr:from>
    <xdr:to>
      <xdr:col>15</xdr:col>
      <xdr:colOff>60960</xdr:colOff>
      <xdr:row>1</xdr:row>
      <xdr:rowOff>91440</xdr:rowOff>
    </xdr:to>
    <xdr:pic>
      <xdr:nvPicPr>
        <xdr:cNvPr id="45" name="Picture 44">
          <a:extLst>
            <a:ext uri="{FF2B5EF4-FFF2-40B4-BE49-F238E27FC236}">
              <a16:creationId xmlns:a16="http://schemas.microsoft.com/office/drawing/2014/main" id="{E843476B-AD65-A621-735C-4F8034A325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8938260" y="7620"/>
          <a:ext cx="266700" cy="266700"/>
        </a:xfrm>
        <a:prstGeom prst="rect">
          <a:avLst/>
        </a:prstGeom>
      </xdr:spPr>
    </xdr:pic>
    <xdr:clientData/>
  </xdr:twoCellAnchor>
  <xdr:twoCellAnchor editAs="oneCell">
    <xdr:from>
      <xdr:col>15</xdr:col>
      <xdr:colOff>312419</xdr:colOff>
      <xdr:row>0</xdr:row>
      <xdr:rowOff>22861</xdr:rowOff>
    </xdr:from>
    <xdr:to>
      <xdr:col>15</xdr:col>
      <xdr:colOff>556260</xdr:colOff>
      <xdr:row>1</xdr:row>
      <xdr:rowOff>103329</xdr:rowOff>
    </xdr:to>
    <xdr:pic>
      <xdr:nvPicPr>
        <xdr:cNvPr id="47" name="Picture 46">
          <a:extLst>
            <a:ext uri="{FF2B5EF4-FFF2-40B4-BE49-F238E27FC236}">
              <a16:creationId xmlns:a16="http://schemas.microsoft.com/office/drawing/2014/main" id="{068EF8D4-2054-0CA3-4EE4-922462E79184}"/>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9456419" y="22861"/>
          <a:ext cx="243841" cy="263348"/>
        </a:xfrm>
        <a:prstGeom prst="rect">
          <a:avLst/>
        </a:prstGeom>
      </xdr:spPr>
    </xdr:pic>
    <xdr:clientData/>
  </xdr:twoCellAnchor>
  <xdr:twoCellAnchor editAs="oneCell">
    <xdr:from>
      <xdr:col>3</xdr:col>
      <xdr:colOff>388620</xdr:colOff>
      <xdr:row>0</xdr:row>
      <xdr:rowOff>45720</xdr:rowOff>
    </xdr:from>
    <xdr:to>
      <xdr:col>4</xdr:col>
      <xdr:colOff>30480</xdr:colOff>
      <xdr:row>1</xdr:row>
      <xdr:rowOff>114300</xdr:rowOff>
    </xdr:to>
    <xdr:pic>
      <xdr:nvPicPr>
        <xdr:cNvPr id="49" name="Picture 48">
          <a:extLst>
            <a:ext uri="{FF2B5EF4-FFF2-40B4-BE49-F238E27FC236}">
              <a16:creationId xmlns:a16="http://schemas.microsoft.com/office/drawing/2014/main" id="{20B6B060-13E6-C15A-DBDE-95E30177237F}"/>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2217420" y="45720"/>
          <a:ext cx="251460" cy="251460"/>
        </a:xfrm>
        <a:prstGeom prst="rect">
          <a:avLst/>
        </a:prstGeom>
      </xdr:spPr>
    </xdr:pic>
    <xdr:clientData/>
  </xdr:twoCellAnchor>
  <xdr:twoCellAnchor editAs="oneCell">
    <xdr:from>
      <xdr:col>16</xdr:col>
      <xdr:colOff>327659</xdr:colOff>
      <xdr:row>0</xdr:row>
      <xdr:rowOff>30481</xdr:rowOff>
    </xdr:from>
    <xdr:to>
      <xdr:col>16</xdr:col>
      <xdr:colOff>579120</xdr:colOff>
      <xdr:row>1</xdr:row>
      <xdr:rowOff>98134</xdr:rowOff>
    </xdr:to>
    <xdr:pic>
      <xdr:nvPicPr>
        <xdr:cNvPr id="51" name="Picture 50">
          <a:extLst>
            <a:ext uri="{FF2B5EF4-FFF2-40B4-BE49-F238E27FC236}">
              <a16:creationId xmlns:a16="http://schemas.microsoft.com/office/drawing/2014/main" id="{882F494F-10AD-EC5B-9D61-6E479C8A19C4}"/>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0081259" y="30481"/>
          <a:ext cx="251461" cy="250533"/>
        </a:xfrm>
        <a:prstGeom prst="rect">
          <a:avLst/>
        </a:prstGeom>
      </xdr:spPr>
    </xdr:pic>
    <xdr:clientData/>
  </xdr:twoCellAnchor>
  <xdr:twoCellAnchor editAs="oneCell">
    <xdr:from>
      <xdr:col>0</xdr:col>
      <xdr:colOff>0</xdr:colOff>
      <xdr:row>3</xdr:row>
      <xdr:rowOff>14621</xdr:rowOff>
    </xdr:from>
    <xdr:to>
      <xdr:col>0</xdr:col>
      <xdr:colOff>474306</xdr:colOff>
      <xdr:row>5</xdr:row>
      <xdr:rowOff>121921</xdr:rowOff>
    </xdr:to>
    <xdr:pic>
      <xdr:nvPicPr>
        <xdr:cNvPr id="53" name="Graphic 52" descr="Bar graph with upward trend with solid fill">
          <a:extLst>
            <a:ext uri="{FF2B5EF4-FFF2-40B4-BE49-F238E27FC236}">
              <a16:creationId xmlns:a16="http://schemas.microsoft.com/office/drawing/2014/main" id="{F0FF6312-0AC7-5511-8848-06FED21CADAB}"/>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0" y="563261"/>
          <a:ext cx="474306" cy="473060"/>
        </a:xfrm>
        <a:prstGeom prst="rect">
          <a:avLst/>
        </a:prstGeom>
      </xdr:spPr>
    </xdr:pic>
    <xdr:clientData/>
  </xdr:twoCellAnchor>
  <xdr:twoCellAnchor editAs="oneCell">
    <xdr:from>
      <xdr:col>10</xdr:col>
      <xdr:colOff>442568</xdr:colOff>
      <xdr:row>3</xdr:row>
      <xdr:rowOff>83821</xdr:rowOff>
    </xdr:from>
    <xdr:to>
      <xdr:col>12</xdr:col>
      <xdr:colOff>15240</xdr:colOff>
      <xdr:row>5</xdr:row>
      <xdr:rowOff>76201</xdr:rowOff>
    </xdr:to>
    <xdr:pic>
      <xdr:nvPicPr>
        <xdr:cNvPr id="55" name="Graphic 54" descr="Customer review with solid fill">
          <a:extLst>
            <a:ext uri="{FF2B5EF4-FFF2-40B4-BE49-F238E27FC236}">
              <a16:creationId xmlns:a16="http://schemas.microsoft.com/office/drawing/2014/main" id="{7FE37481-0039-7D04-753A-0EBB97D409E8}"/>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6538568" y="632461"/>
          <a:ext cx="791872" cy="358140"/>
        </a:xfrm>
        <a:prstGeom prst="rect">
          <a:avLst/>
        </a:prstGeom>
      </xdr:spPr>
    </xdr:pic>
    <xdr:clientData/>
  </xdr:twoCellAnchor>
  <xdr:twoCellAnchor editAs="oneCell">
    <xdr:from>
      <xdr:col>5</xdr:col>
      <xdr:colOff>342900</xdr:colOff>
      <xdr:row>3</xdr:row>
      <xdr:rowOff>14266</xdr:rowOff>
    </xdr:from>
    <xdr:to>
      <xdr:col>6</xdr:col>
      <xdr:colOff>228600</xdr:colOff>
      <xdr:row>5</xdr:row>
      <xdr:rowOff>142505</xdr:rowOff>
    </xdr:to>
    <xdr:pic>
      <xdr:nvPicPr>
        <xdr:cNvPr id="57" name="Graphic 56" descr="Money with solid fill">
          <a:extLst>
            <a:ext uri="{FF2B5EF4-FFF2-40B4-BE49-F238E27FC236}">
              <a16:creationId xmlns:a16="http://schemas.microsoft.com/office/drawing/2014/main" id="{B7AFC4E8-6534-7C50-DB47-52837E1D7EC4}"/>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3390900" y="562906"/>
          <a:ext cx="495300" cy="493999"/>
        </a:xfrm>
        <a:prstGeom prst="rect">
          <a:avLst/>
        </a:prstGeom>
      </xdr:spPr>
    </xdr:pic>
    <xdr:clientData/>
  </xdr:twoCellAnchor>
  <xdr:twoCellAnchor editAs="oneCell">
    <xdr:from>
      <xdr:col>13</xdr:col>
      <xdr:colOff>434340</xdr:colOff>
      <xdr:row>3</xdr:row>
      <xdr:rowOff>45300</xdr:rowOff>
    </xdr:from>
    <xdr:to>
      <xdr:col>14</xdr:col>
      <xdr:colOff>281940</xdr:colOff>
      <xdr:row>5</xdr:row>
      <xdr:rowOff>135539</xdr:rowOff>
    </xdr:to>
    <xdr:pic>
      <xdr:nvPicPr>
        <xdr:cNvPr id="59" name="Graphic 58" descr="Ribbon with solid fill">
          <a:extLst>
            <a:ext uri="{FF2B5EF4-FFF2-40B4-BE49-F238E27FC236}">
              <a16:creationId xmlns:a16="http://schemas.microsoft.com/office/drawing/2014/main" id="{5D266335-C27A-EC5E-FB25-32B7E5FE2B29}"/>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 uri="{96DAC541-7B7A-43D3-8B79-37D633B846F1}">
              <asvg:svgBlip xmlns:asvg="http://schemas.microsoft.com/office/drawing/2016/SVG/main" r:embed="rId20"/>
            </a:ext>
          </a:extLst>
        </a:blip>
        <a:stretch>
          <a:fillRect/>
        </a:stretch>
      </xdr:blipFill>
      <xdr:spPr>
        <a:xfrm>
          <a:off x="8359140" y="593940"/>
          <a:ext cx="457200" cy="455999"/>
        </a:xfrm>
        <a:prstGeom prst="rect">
          <a:avLst/>
        </a:prstGeom>
      </xdr:spPr>
    </xdr:pic>
    <xdr:clientData/>
  </xdr:twoCellAnchor>
  <xdr:twoCellAnchor editAs="oneCell">
    <xdr:from>
      <xdr:col>8</xdr:col>
      <xdr:colOff>129540</xdr:colOff>
      <xdr:row>3</xdr:row>
      <xdr:rowOff>15240</xdr:rowOff>
    </xdr:from>
    <xdr:to>
      <xdr:col>9</xdr:col>
      <xdr:colOff>111900</xdr:colOff>
      <xdr:row>5</xdr:row>
      <xdr:rowOff>180480</xdr:rowOff>
    </xdr:to>
    <xdr:pic>
      <xdr:nvPicPr>
        <xdr:cNvPr id="61" name="Graphic 60" descr="Mountains with solid fill">
          <a:extLst>
            <a:ext uri="{FF2B5EF4-FFF2-40B4-BE49-F238E27FC236}">
              <a16:creationId xmlns:a16="http://schemas.microsoft.com/office/drawing/2014/main" id="{153CE450-5223-EE6E-64F4-A01793F0279D}"/>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 uri="{96DAC541-7B7A-43D3-8B79-37D633B846F1}">
              <asvg:svgBlip xmlns:asvg="http://schemas.microsoft.com/office/drawing/2016/SVG/main" r:embed="rId22"/>
            </a:ext>
          </a:extLst>
        </a:blip>
        <a:stretch>
          <a:fillRect/>
        </a:stretch>
      </xdr:blipFill>
      <xdr:spPr>
        <a:xfrm>
          <a:off x="5006340" y="563880"/>
          <a:ext cx="591960" cy="531000"/>
        </a:xfrm>
        <a:prstGeom prst="rect">
          <a:avLst/>
        </a:prstGeom>
      </xdr:spPr>
    </xdr:pic>
    <xdr:clientData/>
  </xdr:twoCellAnchor>
  <xdr:twoCellAnchor editAs="oneCell">
    <xdr:from>
      <xdr:col>2</xdr:col>
      <xdr:colOff>449580</xdr:colOff>
      <xdr:row>2</xdr:row>
      <xdr:rowOff>129540</xdr:rowOff>
    </xdr:from>
    <xdr:to>
      <xdr:col>3</xdr:col>
      <xdr:colOff>388620</xdr:colOff>
      <xdr:row>5</xdr:row>
      <xdr:rowOff>129540</xdr:rowOff>
    </xdr:to>
    <xdr:pic>
      <xdr:nvPicPr>
        <xdr:cNvPr id="63" name="Graphic 62" descr="Bar graph with downward trend with solid fill">
          <a:extLst>
            <a:ext uri="{FF2B5EF4-FFF2-40B4-BE49-F238E27FC236}">
              <a16:creationId xmlns:a16="http://schemas.microsoft.com/office/drawing/2014/main" id="{6B7FE835-85F2-AD98-9A62-2E693E12A531}"/>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 uri="{96DAC541-7B7A-43D3-8B79-37D633B846F1}">
              <asvg:svgBlip xmlns:asvg="http://schemas.microsoft.com/office/drawing/2016/SVG/main" r:embed="rId24"/>
            </a:ext>
          </a:extLst>
        </a:blip>
        <a:stretch>
          <a:fillRect/>
        </a:stretch>
      </xdr:blipFill>
      <xdr:spPr>
        <a:xfrm>
          <a:off x="1668780" y="495300"/>
          <a:ext cx="548640" cy="548640"/>
        </a:xfrm>
        <a:prstGeom prst="rect">
          <a:avLst/>
        </a:prstGeom>
      </xdr:spPr>
    </xdr:pic>
    <xdr:clientData/>
  </xdr:twoCellAnchor>
  <xdr:twoCellAnchor editAs="oneCell">
    <xdr:from>
      <xdr:col>0</xdr:col>
      <xdr:colOff>0</xdr:colOff>
      <xdr:row>23</xdr:row>
      <xdr:rowOff>152400</xdr:rowOff>
    </xdr:from>
    <xdr:to>
      <xdr:col>10</xdr:col>
      <xdr:colOff>183424</xdr:colOff>
      <xdr:row>35</xdr:row>
      <xdr:rowOff>129728</xdr:rowOff>
    </xdr:to>
    <xdr:pic>
      <xdr:nvPicPr>
        <xdr:cNvPr id="65" name="Picture 64">
          <a:extLst>
            <a:ext uri="{FF2B5EF4-FFF2-40B4-BE49-F238E27FC236}">
              <a16:creationId xmlns:a16="http://schemas.microsoft.com/office/drawing/2014/main" id="{8B5A2B07-7F75-E268-01AE-4DACAF284FAC}"/>
            </a:ext>
          </a:extLst>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Lst>
        </a:blip>
        <a:stretch>
          <a:fillRect/>
        </a:stretch>
      </xdr:blipFill>
      <xdr:spPr>
        <a:xfrm>
          <a:off x="0" y="4358640"/>
          <a:ext cx="6279424" cy="2171888"/>
        </a:xfrm>
        <a:prstGeom prst="rect">
          <a:avLst/>
        </a:prstGeom>
      </xdr:spPr>
    </xdr:pic>
    <xdr:clientData/>
  </xdr:twoCellAnchor>
  <xdr:twoCellAnchor editAs="oneCell">
    <xdr:from>
      <xdr:col>8</xdr:col>
      <xdr:colOff>198120</xdr:colOff>
      <xdr:row>23</xdr:row>
      <xdr:rowOff>167640</xdr:rowOff>
    </xdr:from>
    <xdr:to>
      <xdr:col>17</xdr:col>
      <xdr:colOff>267177</xdr:colOff>
      <xdr:row>46</xdr:row>
      <xdr:rowOff>45720</xdr:rowOff>
    </xdr:to>
    <xdr:pic>
      <xdr:nvPicPr>
        <xdr:cNvPr id="69" name="Picture 68">
          <a:extLst>
            <a:ext uri="{FF2B5EF4-FFF2-40B4-BE49-F238E27FC236}">
              <a16:creationId xmlns:a16="http://schemas.microsoft.com/office/drawing/2014/main" id="{33729352-1201-8C7E-86E3-19B7C21195E2}"/>
            </a:ext>
          </a:extLst>
        </xdr:cNvPr>
        <xdr:cNvPicPr>
          <a:picLocks noChangeAspect="1"/>
        </xdr:cNvPicPr>
      </xdr:nvPicPr>
      <xdr:blipFill>
        <a:blip xmlns:r="http://schemas.openxmlformats.org/officeDocument/2006/relationships" r:embed="rId26">
          <a:extLst>
            <a:ext uri="{28A0092B-C50C-407E-A947-70E740481C1C}">
              <a14:useLocalDpi xmlns:a14="http://schemas.microsoft.com/office/drawing/2010/main" val="0"/>
            </a:ext>
          </a:extLst>
        </a:blip>
        <a:stretch>
          <a:fillRect/>
        </a:stretch>
      </xdr:blipFill>
      <xdr:spPr>
        <a:xfrm>
          <a:off x="5074920" y="4373880"/>
          <a:ext cx="5555457" cy="4084320"/>
        </a:xfrm>
        <a:prstGeom prst="rect">
          <a:avLst/>
        </a:prstGeom>
      </xdr:spPr>
    </xdr:pic>
    <xdr:clientData/>
  </xdr:twoCellAnchor>
  <xdr:twoCellAnchor editAs="oneCell">
    <xdr:from>
      <xdr:col>2</xdr:col>
      <xdr:colOff>464820</xdr:colOff>
      <xdr:row>0</xdr:row>
      <xdr:rowOff>7620</xdr:rowOff>
    </xdr:from>
    <xdr:to>
      <xdr:col>3</xdr:col>
      <xdr:colOff>144780</xdr:colOff>
      <xdr:row>1</xdr:row>
      <xdr:rowOff>114300</xdr:rowOff>
    </xdr:to>
    <xdr:pic>
      <xdr:nvPicPr>
        <xdr:cNvPr id="71" name="Picture 70">
          <a:extLst>
            <a:ext uri="{FF2B5EF4-FFF2-40B4-BE49-F238E27FC236}">
              <a16:creationId xmlns:a16="http://schemas.microsoft.com/office/drawing/2014/main" id="{6FA82449-B3C9-9271-3A3B-78925D0692EB}"/>
            </a:ext>
          </a:extLst>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Lst>
        </a:blip>
        <a:stretch>
          <a:fillRect/>
        </a:stretch>
      </xdr:blipFill>
      <xdr:spPr>
        <a:xfrm>
          <a:off x="1684020" y="7620"/>
          <a:ext cx="289560" cy="28956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NFO-TECH" refreshedDate="46150.138951157409" createdVersion="5" refreshedVersion="5" minRefreshableVersion="3" recordCount="100" xr:uid="{00000000-000A-0000-FFFF-FFFF00000000}">
  <cacheSource type="worksheet">
    <worksheetSource name="Table1"/>
  </cacheSource>
  <cacheFields count="17">
    <cacheField name="Order ID" numFmtId="0">
      <sharedItems/>
    </cacheField>
    <cacheField name="ORDER DATE" numFmtId="166">
      <sharedItems containsSemiMixedTypes="0" containsNonDate="0" containsDate="1" containsString="0" minDate="2026-01-01T00:00:00" maxDate="2026-04-11T00:00:00" count="1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sharedItems>
      <fieldGroup base="1">
        <rangePr groupBy="months" startDate="2026-01-01T00:00:00" endDate="2026-04-11T00:00:00"/>
        <groupItems count="14">
          <s v="&lt;1/1/2026"/>
          <s v="Jan"/>
          <s v="Feb"/>
          <s v="Mar"/>
          <s v="Apr"/>
          <s v="May"/>
          <s v="Jun"/>
          <s v="Jul"/>
          <s v="Aug"/>
          <s v="Sep"/>
          <s v="Oct"/>
          <s v="Nov"/>
          <s v="Dec"/>
          <s v="&gt;4/11/2026"/>
        </groupItems>
      </fieldGroup>
    </cacheField>
    <cacheField name="Customer Name" numFmtId="0">
      <sharedItems count="12">
        <s v="Classic stores"/>
        <s v="Victory Mart"/>
        <s v="Bright Stores"/>
        <s v="City Mart"/>
        <s v="Fresh Choice"/>
        <s v="Blessing stores"/>
        <s v="Royal Drinks Hub"/>
        <s v="Kings Retail"/>
        <s v="Unity Supermarket"/>
        <s v="Devine Mart"/>
        <s v="Emma Supermarket"/>
        <s v="Mega Shop"/>
      </sharedItems>
    </cacheField>
    <cacheField name="Custormer type" numFmtId="0">
      <sharedItems count="4">
        <s v="Retailer"/>
        <s v="Supermarket"/>
        <s v="Hotel"/>
        <s v="Restaurant"/>
      </sharedItems>
    </cacheField>
    <cacheField name="Product Name" numFmtId="0">
      <sharedItems count="8">
        <s v="Sprite 50cl"/>
        <s v="Maltina Can"/>
        <s v="Pepsi 50cl"/>
        <s v="Fanta Orange"/>
        <s v="Monster Energy"/>
        <s v="7up 50cl"/>
        <s v="Coca-Cola 50cl"/>
        <s v="Fearless Energy"/>
      </sharedItems>
    </cacheField>
    <cacheField name="Brand " numFmtId="0">
      <sharedItems count="6">
        <s v="Coca-Cola"/>
        <s v="Maltina"/>
        <s v="Pepsi"/>
        <s v="Monster"/>
        <s v="7up"/>
        <s v="Fearless"/>
      </sharedItems>
    </cacheField>
    <cacheField name="Category" numFmtId="0">
      <sharedItems/>
    </cacheField>
    <cacheField name="Quality" numFmtId="0">
      <sharedItems containsSemiMixedTypes="0" containsString="0" containsNumber="1" containsInteger="1" minValue="12" maxValue="100"/>
    </cacheField>
    <cacheField name="Unit Price" numFmtId="164">
      <sharedItems containsSemiMixedTypes="0" containsString="0" containsNumber="1" containsInteger="1" minValue="450" maxValue="900"/>
    </cacheField>
    <cacheField name="Sales" numFmtId="164">
      <sharedItems containsSemiMixedTypes="0" containsString="0" containsNumber="1" containsInteger="1" minValue="5400" maxValue="90000"/>
    </cacheField>
    <cacheField name="Cost Prices" numFmtId="164">
      <sharedItems containsSemiMixedTypes="0" containsString="0" containsNumber="1" containsInteger="1" minValue="340" maxValue="720"/>
    </cacheField>
    <cacheField name="Profit" numFmtId="164">
      <sharedItems containsSemiMixedTypes="0" containsString="0" containsNumber="1" containsInteger="1" minValue="1200" maxValue="30000"/>
    </cacheField>
    <cacheField name="Total Expenses" numFmtId="164">
      <sharedItems containsSemiMixedTypes="0" containsString="0" containsNumber="1" containsInteger="1" minValue="3900" maxValue="78000"/>
    </cacheField>
    <cacheField name="Region" numFmtId="0">
      <sharedItems count="6">
        <s v="South South"/>
        <s v="south West"/>
        <s v="North West"/>
        <s v="North Central"/>
        <s v="North East"/>
        <s v="South East"/>
      </sharedItems>
    </cacheField>
    <cacheField name="State" numFmtId="0">
      <sharedItems count="6">
        <s v="Port Harcourt"/>
        <s v="Lagos"/>
        <s v="Kano"/>
        <s v="Abuja"/>
        <s v="Gombe"/>
        <s v="Anambra"/>
      </sharedItems>
    </cacheField>
    <cacheField name="Sales Rep" numFmtId="0">
      <sharedItems count="6">
        <s v="Bella Godwin"/>
        <s v="Ayo Kunle"/>
        <s v="Abdullahi Yahaya"/>
        <s v="Micheal John"/>
        <s v="Isah Musa"/>
        <s v="Emmanuel Jonathan"/>
      </sharedItems>
    </cacheField>
    <cacheField name="Payment Method" numFmtId="0">
      <sharedItems count="3">
        <s v="Cash"/>
        <s v="POS"/>
        <s v="Transfer"/>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
  <r>
    <s v="ORD001"/>
    <x v="0"/>
    <x v="0"/>
    <x v="0"/>
    <x v="0"/>
    <x v="0"/>
    <s v="Soft Drink"/>
    <n v="46"/>
    <n v="470"/>
    <n v="21620"/>
    <n v="350"/>
    <n v="5520"/>
    <n v="16100"/>
    <x v="0"/>
    <x v="0"/>
    <x v="0"/>
    <x v="0"/>
  </r>
  <r>
    <s v="ORD001"/>
    <x v="1"/>
    <x v="0"/>
    <x v="0"/>
    <x v="1"/>
    <x v="1"/>
    <s v="Malt Drink"/>
    <n v="34"/>
    <n v="650"/>
    <n v="22100"/>
    <n v="500"/>
    <n v="11500"/>
    <n v="10600"/>
    <x v="0"/>
    <x v="0"/>
    <x v="0"/>
    <x v="1"/>
  </r>
  <r>
    <s v="ORD002"/>
    <x v="2"/>
    <x v="1"/>
    <x v="0"/>
    <x v="2"/>
    <x v="2"/>
    <s v="Soft Drink"/>
    <n v="54"/>
    <n v="480"/>
    <n v="25920"/>
    <n v="360"/>
    <n v="10000"/>
    <n v="15920"/>
    <x v="1"/>
    <x v="1"/>
    <x v="1"/>
    <x v="2"/>
  </r>
  <r>
    <s v="ORD002"/>
    <x v="3"/>
    <x v="1"/>
    <x v="0"/>
    <x v="3"/>
    <x v="0"/>
    <s v="Soft Drink"/>
    <n v="67"/>
    <n v="450"/>
    <n v="30150"/>
    <n v="340"/>
    <n v="12000"/>
    <n v="18150"/>
    <x v="1"/>
    <x v="1"/>
    <x v="1"/>
    <x v="2"/>
  </r>
  <r>
    <s v="ORD003"/>
    <x v="4"/>
    <x v="2"/>
    <x v="1"/>
    <x v="4"/>
    <x v="3"/>
    <s v="Energy Drink"/>
    <n v="45"/>
    <n v="900"/>
    <n v="40500"/>
    <n v="720"/>
    <n v="13500"/>
    <n v="27000"/>
    <x v="0"/>
    <x v="0"/>
    <x v="0"/>
    <x v="0"/>
  </r>
  <r>
    <s v="ORD003"/>
    <x v="5"/>
    <x v="2"/>
    <x v="1"/>
    <x v="5"/>
    <x v="4"/>
    <s v="Soft Drink"/>
    <n v="87"/>
    <n v="460"/>
    <n v="40020"/>
    <n v="345"/>
    <n v="15000"/>
    <n v="25020"/>
    <x v="0"/>
    <x v="0"/>
    <x v="0"/>
    <x v="0"/>
  </r>
  <r>
    <s v="ORD004"/>
    <x v="6"/>
    <x v="3"/>
    <x v="2"/>
    <x v="3"/>
    <x v="0"/>
    <s v="Soft Drink"/>
    <n v="12"/>
    <n v="450"/>
    <n v="5400"/>
    <n v="340"/>
    <n v="1500"/>
    <n v="3900"/>
    <x v="2"/>
    <x v="2"/>
    <x v="2"/>
    <x v="0"/>
  </r>
  <r>
    <s v="ORD004"/>
    <x v="7"/>
    <x v="3"/>
    <x v="2"/>
    <x v="6"/>
    <x v="0"/>
    <s v="Soft Drink"/>
    <n v="34"/>
    <n v="500"/>
    <n v="17000"/>
    <n v="380"/>
    <n v="3000"/>
    <n v="14000"/>
    <x v="2"/>
    <x v="2"/>
    <x v="2"/>
    <x v="0"/>
  </r>
  <r>
    <s v="ORD004"/>
    <x v="8"/>
    <x v="3"/>
    <x v="2"/>
    <x v="2"/>
    <x v="2"/>
    <s v="Soft Drink"/>
    <n v="56"/>
    <n v="480"/>
    <n v="26880"/>
    <n v="360"/>
    <n v="8000"/>
    <n v="18880"/>
    <x v="2"/>
    <x v="2"/>
    <x v="2"/>
    <x v="0"/>
  </r>
  <r>
    <s v="0RD005"/>
    <x v="9"/>
    <x v="4"/>
    <x v="3"/>
    <x v="7"/>
    <x v="5"/>
    <s v="Energy Drink"/>
    <n v="78"/>
    <n v="700"/>
    <n v="54600"/>
    <n v="540"/>
    <n v="12000"/>
    <n v="42600"/>
    <x v="3"/>
    <x v="3"/>
    <x v="3"/>
    <x v="1"/>
  </r>
  <r>
    <s v="0RD005"/>
    <x v="10"/>
    <x v="4"/>
    <x v="3"/>
    <x v="6"/>
    <x v="0"/>
    <s v="Soft Drink"/>
    <n v="45"/>
    <n v="500"/>
    <n v="22500"/>
    <n v="380"/>
    <n v="10000"/>
    <n v="12500"/>
    <x v="3"/>
    <x v="3"/>
    <x v="3"/>
    <x v="1"/>
  </r>
  <r>
    <s v="0RD006"/>
    <x v="11"/>
    <x v="0"/>
    <x v="3"/>
    <x v="2"/>
    <x v="2"/>
    <s v="Soft Drink"/>
    <n v="32"/>
    <n v="480"/>
    <n v="15360"/>
    <n v="360"/>
    <n v="4500"/>
    <n v="10860"/>
    <x v="4"/>
    <x v="4"/>
    <x v="4"/>
    <x v="1"/>
  </r>
  <r>
    <s v="0RD006"/>
    <x v="12"/>
    <x v="0"/>
    <x v="3"/>
    <x v="7"/>
    <x v="5"/>
    <s v="Energy Drink"/>
    <n v="35"/>
    <n v="700"/>
    <n v="24500"/>
    <n v="540"/>
    <n v="5600"/>
    <n v="18900"/>
    <x v="4"/>
    <x v="4"/>
    <x v="4"/>
    <x v="1"/>
  </r>
  <r>
    <s v="ORD006"/>
    <x v="13"/>
    <x v="0"/>
    <x v="3"/>
    <x v="0"/>
    <x v="0"/>
    <s v="Soft Drink"/>
    <n v="67"/>
    <n v="470"/>
    <n v="31490"/>
    <n v="350"/>
    <n v="6900"/>
    <n v="24590"/>
    <x v="4"/>
    <x v="4"/>
    <x v="4"/>
    <x v="1"/>
  </r>
  <r>
    <s v="ORD006"/>
    <x v="14"/>
    <x v="0"/>
    <x v="3"/>
    <x v="6"/>
    <x v="0"/>
    <s v="Soft Drink"/>
    <n v="54"/>
    <n v="500"/>
    <n v="27000"/>
    <n v="380"/>
    <n v="6000"/>
    <n v="21000"/>
    <x v="4"/>
    <x v="4"/>
    <x v="4"/>
    <x v="2"/>
  </r>
  <r>
    <s v="ORD007"/>
    <x v="15"/>
    <x v="5"/>
    <x v="3"/>
    <x v="5"/>
    <x v="4"/>
    <s v="Soft Drink"/>
    <n v="23"/>
    <n v="460"/>
    <n v="10580"/>
    <n v="345"/>
    <n v="4500"/>
    <n v="6080"/>
    <x v="5"/>
    <x v="5"/>
    <x v="5"/>
    <x v="2"/>
  </r>
  <r>
    <s v="ORD007"/>
    <x v="16"/>
    <x v="5"/>
    <x v="3"/>
    <x v="1"/>
    <x v="1"/>
    <s v="Malt Drink"/>
    <n v="87"/>
    <n v="650"/>
    <n v="56550"/>
    <n v="500"/>
    <n v="12000"/>
    <n v="44550"/>
    <x v="5"/>
    <x v="5"/>
    <x v="5"/>
    <x v="2"/>
  </r>
  <r>
    <s v="ORD007"/>
    <x v="17"/>
    <x v="5"/>
    <x v="3"/>
    <x v="7"/>
    <x v="5"/>
    <s v="Energy Drink"/>
    <n v="90"/>
    <n v="700"/>
    <n v="63000"/>
    <n v="540"/>
    <n v="23000"/>
    <n v="40000"/>
    <x v="5"/>
    <x v="5"/>
    <x v="5"/>
    <x v="1"/>
  </r>
  <r>
    <s v="ORD007"/>
    <x v="18"/>
    <x v="5"/>
    <x v="3"/>
    <x v="6"/>
    <x v="0"/>
    <s v="Soft Drink"/>
    <n v="34"/>
    <n v="500"/>
    <n v="17000"/>
    <n v="380"/>
    <n v="5000"/>
    <n v="12000"/>
    <x v="5"/>
    <x v="5"/>
    <x v="5"/>
    <x v="1"/>
  </r>
  <r>
    <s v="ORD008"/>
    <x v="19"/>
    <x v="1"/>
    <x v="1"/>
    <x v="2"/>
    <x v="2"/>
    <s v="Soft Drink"/>
    <n v="23"/>
    <n v="480"/>
    <n v="11040"/>
    <n v="360"/>
    <n v="3600"/>
    <n v="7440"/>
    <x v="5"/>
    <x v="5"/>
    <x v="5"/>
    <x v="1"/>
  </r>
  <r>
    <s v="ORD008"/>
    <x v="20"/>
    <x v="1"/>
    <x v="1"/>
    <x v="1"/>
    <x v="1"/>
    <s v="Malt Drink"/>
    <n v="45"/>
    <n v="650"/>
    <n v="29250"/>
    <n v="500"/>
    <n v="6700"/>
    <n v="22550"/>
    <x v="1"/>
    <x v="1"/>
    <x v="1"/>
    <x v="0"/>
  </r>
  <r>
    <s v="ORD008"/>
    <x v="21"/>
    <x v="1"/>
    <x v="1"/>
    <x v="0"/>
    <x v="0"/>
    <s v="Soft Drink"/>
    <n v="67"/>
    <n v="470"/>
    <n v="31490"/>
    <n v="350"/>
    <n v="4500"/>
    <n v="26990"/>
    <x v="1"/>
    <x v="1"/>
    <x v="1"/>
    <x v="0"/>
  </r>
  <r>
    <s v="ORD008"/>
    <x v="22"/>
    <x v="1"/>
    <x v="1"/>
    <x v="6"/>
    <x v="0"/>
    <s v="Soft Drink"/>
    <n v="89"/>
    <n v="500"/>
    <n v="44500"/>
    <n v="380"/>
    <n v="12400"/>
    <n v="32100"/>
    <x v="1"/>
    <x v="1"/>
    <x v="1"/>
    <x v="0"/>
  </r>
  <r>
    <s v="ORD009"/>
    <x v="23"/>
    <x v="6"/>
    <x v="0"/>
    <x v="4"/>
    <x v="3"/>
    <s v="Energy Drink"/>
    <n v="12"/>
    <n v="900"/>
    <n v="10800"/>
    <n v="720"/>
    <n v="4500"/>
    <n v="6300"/>
    <x v="1"/>
    <x v="1"/>
    <x v="1"/>
    <x v="0"/>
  </r>
  <r>
    <s v="ORD009"/>
    <x v="24"/>
    <x v="6"/>
    <x v="0"/>
    <x v="2"/>
    <x v="2"/>
    <s v="Soft Drink"/>
    <n v="34"/>
    <n v="480"/>
    <n v="16320"/>
    <n v="360"/>
    <n v="6700"/>
    <n v="9620"/>
    <x v="1"/>
    <x v="1"/>
    <x v="1"/>
    <x v="2"/>
  </r>
  <r>
    <s v="ORD009"/>
    <x v="25"/>
    <x v="6"/>
    <x v="0"/>
    <x v="1"/>
    <x v="1"/>
    <s v="Malt Drink"/>
    <n v="56"/>
    <n v="650"/>
    <n v="36400"/>
    <n v="500"/>
    <n v="8000"/>
    <n v="28400"/>
    <x v="2"/>
    <x v="2"/>
    <x v="2"/>
    <x v="2"/>
  </r>
  <r>
    <s v="ORD009"/>
    <x v="26"/>
    <x v="6"/>
    <x v="0"/>
    <x v="7"/>
    <x v="5"/>
    <s v="Energy Drink"/>
    <n v="78"/>
    <n v="700"/>
    <n v="54600"/>
    <n v="540"/>
    <n v="15600"/>
    <n v="39000"/>
    <x v="2"/>
    <x v="2"/>
    <x v="2"/>
    <x v="2"/>
  </r>
  <r>
    <s v="ORD010"/>
    <x v="27"/>
    <x v="1"/>
    <x v="3"/>
    <x v="1"/>
    <x v="1"/>
    <s v="Malt Drink"/>
    <n v="90"/>
    <n v="650"/>
    <n v="58500"/>
    <n v="500"/>
    <n v="17000"/>
    <n v="41500"/>
    <x v="2"/>
    <x v="2"/>
    <x v="2"/>
    <x v="1"/>
  </r>
  <r>
    <s v="ORD010"/>
    <x v="28"/>
    <x v="1"/>
    <x v="3"/>
    <x v="3"/>
    <x v="0"/>
    <s v="Soft Drink"/>
    <n v="100"/>
    <n v="450"/>
    <n v="45000"/>
    <n v="340"/>
    <n v="20000"/>
    <n v="25000"/>
    <x v="2"/>
    <x v="2"/>
    <x v="2"/>
    <x v="1"/>
  </r>
  <r>
    <s v="ORD010"/>
    <x v="29"/>
    <x v="1"/>
    <x v="3"/>
    <x v="7"/>
    <x v="5"/>
    <s v="Energy Drink"/>
    <n v="12"/>
    <n v="700"/>
    <n v="8400"/>
    <n v="540"/>
    <n v="2000"/>
    <n v="6400"/>
    <x v="3"/>
    <x v="3"/>
    <x v="3"/>
    <x v="1"/>
  </r>
  <r>
    <s v="ORD011"/>
    <x v="30"/>
    <x v="2"/>
    <x v="0"/>
    <x v="3"/>
    <x v="0"/>
    <s v="Soft Drink"/>
    <n v="100"/>
    <n v="450"/>
    <n v="45000"/>
    <n v="340"/>
    <n v="16000"/>
    <n v="29000"/>
    <x v="3"/>
    <x v="3"/>
    <x v="3"/>
    <x v="2"/>
  </r>
  <r>
    <s v="ORD011"/>
    <x v="31"/>
    <x v="2"/>
    <x v="0"/>
    <x v="2"/>
    <x v="2"/>
    <s v="Soft Drink"/>
    <n v="23"/>
    <n v="480"/>
    <n v="11040"/>
    <n v="360"/>
    <n v="5000"/>
    <n v="6040"/>
    <x v="3"/>
    <x v="3"/>
    <x v="3"/>
    <x v="2"/>
  </r>
  <r>
    <s v="ORD011"/>
    <x v="32"/>
    <x v="2"/>
    <x v="0"/>
    <x v="7"/>
    <x v="5"/>
    <s v="Energy Drink"/>
    <n v="45"/>
    <n v="700"/>
    <n v="31500"/>
    <n v="540"/>
    <n v="6700"/>
    <n v="24800"/>
    <x v="3"/>
    <x v="3"/>
    <x v="3"/>
    <x v="2"/>
  </r>
  <r>
    <s v="ORD012"/>
    <x v="33"/>
    <x v="6"/>
    <x v="0"/>
    <x v="5"/>
    <x v="4"/>
    <s v="Soft Drink"/>
    <n v="67"/>
    <n v="460"/>
    <n v="30820"/>
    <n v="345"/>
    <n v="6900"/>
    <n v="23920"/>
    <x v="3"/>
    <x v="3"/>
    <x v="3"/>
    <x v="2"/>
  </r>
  <r>
    <s v="ORD012"/>
    <x v="34"/>
    <x v="6"/>
    <x v="0"/>
    <x v="7"/>
    <x v="5"/>
    <s v="Energy Drink"/>
    <n v="89"/>
    <n v="700"/>
    <n v="62300"/>
    <n v="540"/>
    <n v="20000"/>
    <n v="42300"/>
    <x v="0"/>
    <x v="0"/>
    <x v="0"/>
    <x v="2"/>
  </r>
  <r>
    <s v="ORD012"/>
    <x v="35"/>
    <x v="6"/>
    <x v="0"/>
    <x v="1"/>
    <x v="1"/>
    <s v="Malt Drink"/>
    <n v="100"/>
    <n v="650"/>
    <n v="65000"/>
    <n v="500"/>
    <n v="19500"/>
    <n v="45500"/>
    <x v="0"/>
    <x v="0"/>
    <x v="0"/>
    <x v="0"/>
  </r>
  <r>
    <s v="ORD012"/>
    <x v="36"/>
    <x v="6"/>
    <x v="0"/>
    <x v="0"/>
    <x v="0"/>
    <s v="Soft Drink"/>
    <n v="100"/>
    <n v="470"/>
    <n v="47000"/>
    <n v="350"/>
    <n v="18500"/>
    <n v="28500"/>
    <x v="0"/>
    <x v="0"/>
    <x v="0"/>
    <x v="0"/>
  </r>
  <r>
    <s v="ORD013"/>
    <x v="37"/>
    <x v="5"/>
    <x v="0"/>
    <x v="3"/>
    <x v="0"/>
    <s v="Soft Drink"/>
    <n v="34"/>
    <n v="450"/>
    <n v="15300"/>
    <n v="340"/>
    <n v="4500"/>
    <n v="10800"/>
    <x v="0"/>
    <x v="0"/>
    <x v="0"/>
    <x v="0"/>
  </r>
  <r>
    <s v="ORD013"/>
    <x v="38"/>
    <x v="5"/>
    <x v="0"/>
    <x v="7"/>
    <x v="5"/>
    <s v="Energy Drink"/>
    <n v="56"/>
    <n v="700"/>
    <n v="39200"/>
    <n v="540"/>
    <n v="6700"/>
    <n v="32500"/>
    <x v="0"/>
    <x v="0"/>
    <x v="0"/>
    <x v="0"/>
  </r>
  <r>
    <s v="ORD014"/>
    <x v="39"/>
    <x v="0"/>
    <x v="1"/>
    <x v="6"/>
    <x v="0"/>
    <s v="Soft Drink"/>
    <n v="78"/>
    <n v="500"/>
    <n v="39000"/>
    <n v="380"/>
    <n v="6700"/>
    <n v="32300"/>
    <x v="0"/>
    <x v="0"/>
    <x v="0"/>
    <x v="0"/>
  </r>
  <r>
    <s v="ORD014"/>
    <x v="40"/>
    <x v="0"/>
    <x v="1"/>
    <x v="5"/>
    <x v="4"/>
    <s v="Soft Drink"/>
    <n v="90"/>
    <n v="460"/>
    <n v="41400"/>
    <n v="345"/>
    <n v="17000"/>
    <n v="24400"/>
    <x v="0"/>
    <x v="0"/>
    <x v="0"/>
    <x v="0"/>
  </r>
  <r>
    <s v="ORD014"/>
    <x v="41"/>
    <x v="0"/>
    <x v="1"/>
    <x v="0"/>
    <x v="0"/>
    <s v="Soft Drink"/>
    <n v="100"/>
    <n v="470"/>
    <n v="47000"/>
    <n v="350"/>
    <n v="12000"/>
    <n v="35000"/>
    <x v="0"/>
    <x v="0"/>
    <x v="0"/>
    <x v="0"/>
  </r>
  <r>
    <s v="ORD014"/>
    <x v="42"/>
    <x v="0"/>
    <x v="1"/>
    <x v="2"/>
    <x v="2"/>
    <s v="Soft Drink"/>
    <n v="100"/>
    <n v="480"/>
    <n v="48000"/>
    <n v="360"/>
    <n v="16000"/>
    <n v="32000"/>
    <x v="0"/>
    <x v="0"/>
    <x v="0"/>
    <x v="0"/>
  </r>
  <r>
    <s v="ORD015"/>
    <x v="43"/>
    <x v="7"/>
    <x v="0"/>
    <x v="4"/>
    <x v="3"/>
    <s v="Energy Drink"/>
    <n v="100"/>
    <n v="900"/>
    <n v="90000"/>
    <n v="720"/>
    <n v="12000"/>
    <n v="78000"/>
    <x v="4"/>
    <x v="4"/>
    <x v="4"/>
    <x v="0"/>
  </r>
  <r>
    <s v="ORD015"/>
    <x v="44"/>
    <x v="7"/>
    <x v="0"/>
    <x v="7"/>
    <x v="5"/>
    <s v="Energy Drink"/>
    <n v="100"/>
    <n v="700"/>
    <n v="70000"/>
    <n v="540"/>
    <n v="20000"/>
    <n v="50000"/>
    <x v="4"/>
    <x v="4"/>
    <x v="4"/>
    <x v="0"/>
  </r>
  <r>
    <s v="ORD015"/>
    <x v="45"/>
    <x v="7"/>
    <x v="0"/>
    <x v="6"/>
    <x v="0"/>
    <s v="Soft Drink"/>
    <n v="100"/>
    <n v="500"/>
    <n v="50000"/>
    <n v="380"/>
    <n v="16000"/>
    <n v="34000"/>
    <x v="4"/>
    <x v="4"/>
    <x v="4"/>
    <x v="0"/>
  </r>
  <r>
    <s v="ORD015"/>
    <x v="46"/>
    <x v="7"/>
    <x v="0"/>
    <x v="5"/>
    <x v="4"/>
    <s v="Soft Drink"/>
    <n v="23"/>
    <n v="460"/>
    <n v="10580"/>
    <n v="345"/>
    <n v="5000"/>
    <n v="5580"/>
    <x v="4"/>
    <x v="4"/>
    <x v="4"/>
    <x v="0"/>
  </r>
  <r>
    <s v="ORD016"/>
    <x v="47"/>
    <x v="8"/>
    <x v="1"/>
    <x v="2"/>
    <x v="2"/>
    <s v="Soft Drink"/>
    <n v="45"/>
    <n v="480"/>
    <n v="21600"/>
    <n v="360"/>
    <n v="1200"/>
    <n v="20400"/>
    <x v="4"/>
    <x v="4"/>
    <x v="4"/>
    <x v="0"/>
  </r>
  <r>
    <s v="ORD016"/>
    <x v="48"/>
    <x v="8"/>
    <x v="1"/>
    <x v="1"/>
    <x v="1"/>
    <s v="Malt Drink"/>
    <n v="67"/>
    <n v="650"/>
    <n v="43550"/>
    <n v="500"/>
    <n v="1300"/>
    <n v="42250"/>
    <x v="4"/>
    <x v="4"/>
    <x v="4"/>
    <x v="0"/>
  </r>
  <r>
    <s v="ORD017"/>
    <x v="49"/>
    <x v="0"/>
    <x v="3"/>
    <x v="3"/>
    <x v="0"/>
    <s v="Soft Drink"/>
    <n v="89"/>
    <n v="450"/>
    <n v="40050"/>
    <n v="340"/>
    <n v="12700"/>
    <n v="27350"/>
    <x v="5"/>
    <x v="5"/>
    <x v="5"/>
    <x v="1"/>
  </r>
  <r>
    <s v="ORD017"/>
    <x v="50"/>
    <x v="0"/>
    <x v="3"/>
    <x v="6"/>
    <x v="0"/>
    <s v="Soft Drink"/>
    <n v="34"/>
    <n v="500"/>
    <n v="17000"/>
    <n v="380"/>
    <n v="5600"/>
    <n v="11400"/>
    <x v="5"/>
    <x v="5"/>
    <x v="5"/>
    <x v="1"/>
  </r>
  <r>
    <s v="ORD018"/>
    <x v="51"/>
    <x v="4"/>
    <x v="1"/>
    <x v="7"/>
    <x v="5"/>
    <s v="Energy Drink"/>
    <n v="29"/>
    <n v="700"/>
    <n v="20300"/>
    <n v="540"/>
    <n v="6000"/>
    <n v="14300"/>
    <x v="5"/>
    <x v="5"/>
    <x v="5"/>
    <x v="1"/>
  </r>
  <r>
    <s v="ORD018"/>
    <x v="52"/>
    <x v="4"/>
    <x v="1"/>
    <x v="3"/>
    <x v="0"/>
    <s v="Soft Drink"/>
    <n v="76"/>
    <n v="450"/>
    <n v="34200"/>
    <n v="340"/>
    <n v="7800"/>
    <n v="26400"/>
    <x v="5"/>
    <x v="5"/>
    <x v="5"/>
    <x v="1"/>
  </r>
  <r>
    <s v="ORD018"/>
    <x v="53"/>
    <x v="4"/>
    <x v="1"/>
    <x v="6"/>
    <x v="0"/>
    <s v="Soft Drink"/>
    <n v="54"/>
    <n v="500"/>
    <n v="27000"/>
    <n v="380"/>
    <n v="12000"/>
    <n v="15000"/>
    <x v="5"/>
    <x v="5"/>
    <x v="5"/>
    <x v="1"/>
  </r>
  <r>
    <s v="ORD018"/>
    <x v="54"/>
    <x v="4"/>
    <x v="1"/>
    <x v="4"/>
    <x v="3"/>
    <s v="Energy Drink"/>
    <n v="32"/>
    <n v="900"/>
    <n v="28800"/>
    <n v="720"/>
    <n v="14000"/>
    <n v="14800"/>
    <x v="5"/>
    <x v="5"/>
    <x v="5"/>
    <x v="2"/>
  </r>
  <r>
    <s v="ORD019"/>
    <x v="55"/>
    <x v="6"/>
    <x v="2"/>
    <x v="3"/>
    <x v="0"/>
    <s v="Soft Drink"/>
    <n v="54"/>
    <n v="450"/>
    <n v="24300"/>
    <n v="340"/>
    <n v="13000"/>
    <n v="11300"/>
    <x v="5"/>
    <x v="5"/>
    <x v="5"/>
    <x v="2"/>
  </r>
  <r>
    <s v="ORD019"/>
    <x v="56"/>
    <x v="6"/>
    <x v="2"/>
    <x v="1"/>
    <x v="1"/>
    <s v="Malt Drink"/>
    <n v="65"/>
    <n v="650"/>
    <n v="42250"/>
    <n v="500"/>
    <n v="12000"/>
    <n v="30250"/>
    <x v="5"/>
    <x v="5"/>
    <x v="5"/>
    <x v="0"/>
  </r>
  <r>
    <s v="ORD019"/>
    <x v="57"/>
    <x v="6"/>
    <x v="2"/>
    <x v="4"/>
    <x v="3"/>
    <s v="Energy Drink"/>
    <n v="87"/>
    <n v="900"/>
    <n v="78300"/>
    <n v="720"/>
    <n v="20000"/>
    <n v="58300"/>
    <x v="5"/>
    <x v="5"/>
    <x v="5"/>
    <x v="1"/>
  </r>
  <r>
    <s v="ORD019"/>
    <x v="58"/>
    <x v="6"/>
    <x v="2"/>
    <x v="0"/>
    <x v="0"/>
    <s v="Soft Drink"/>
    <n v="65"/>
    <n v="470"/>
    <n v="30550"/>
    <n v="350"/>
    <n v="12000"/>
    <n v="18550"/>
    <x v="5"/>
    <x v="5"/>
    <x v="5"/>
    <x v="1"/>
  </r>
  <r>
    <s v="ORD020"/>
    <x v="59"/>
    <x v="9"/>
    <x v="3"/>
    <x v="2"/>
    <x v="2"/>
    <s v="Soft Drink"/>
    <n v="98"/>
    <n v="480"/>
    <n v="47040"/>
    <n v="360"/>
    <n v="14000"/>
    <n v="33040"/>
    <x v="5"/>
    <x v="5"/>
    <x v="5"/>
    <x v="2"/>
  </r>
  <r>
    <s v="ORD020"/>
    <x v="60"/>
    <x v="9"/>
    <x v="3"/>
    <x v="6"/>
    <x v="0"/>
    <s v="Soft Drink"/>
    <n v="87"/>
    <n v="500"/>
    <n v="43500"/>
    <n v="380"/>
    <n v="12500"/>
    <n v="31000"/>
    <x v="2"/>
    <x v="2"/>
    <x v="2"/>
    <x v="2"/>
  </r>
  <r>
    <s v="ORD021"/>
    <x v="61"/>
    <x v="10"/>
    <x v="1"/>
    <x v="1"/>
    <x v="1"/>
    <s v="Malt Drink"/>
    <n v="54"/>
    <n v="650"/>
    <n v="35100"/>
    <n v="500"/>
    <n v="13500"/>
    <n v="21600"/>
    <x v="2"/>
    <x v="2"/>
    <x v="2"/>
    <x v="0"/>
  </r>
  <r>
    <s v="ORD021"/>
    <x v="62"/>
    <x v="10"/>
    <x v="1"/>
    <x v="3"/>
    <x v="0"/>
    <s v="Soft Drink"/>
    <n v="32"/>
    <n v="450"/>
    <n v="14400"/>
    <n v="340"/>
    <n v="2500"/>
    <n v="11900"/>
    <x v="2"/>
    <x v="2"/>
    <x v="2"/>
    <x v="0"/>
  </r>
  <r>
    <s v="ORD022"/>
    <x v="63"/>
    <x v="7"/>
    <x v="0"/>
    <x v="7"/>
    <x v="5"/>
    <s v="Energy Drink"/>
    <n v="65"/>
    <n v="700"/>
    <n v="45500"/>
    <n v="540"/>
    <n v="12000"/>
    <n v="33500"/>
    <x v="2"/>
    <x v="2"/>
    <x v="2"/>
    <x v="1"/>
  </r>
  <r>
    <s v="ORD022"/>
    <x v="64"/>
    <x v="7"/>
    <x v="0"/>
    <x v="4"/>
    <x v="3"/>
    <s v="Energy Drink"/>
    <n v="87"/>
    <n v="900"/>
    <n v="78300"/>
    <n v="720"/>
    <n v="20000"/>
    <n v="58300"/>
    <x v="2"/>
    <x v="2"/>
    <x v="2"/>
    <x v="1"/>
  </r>
  <r>
    <s v="ORD022"/>
    <x v="65"/>
    <x v="7"/>
    <x v="0"/>
    <x v="6"/>
    <x v="0"/>
    <s v="Soft Drink"/>
    <n v="98"/>
    <n v="500"/>
    <n v="49000"/>
    <n v="380"/>
    <n v="13000"/>
    <n v="36000"/>
    <x v="2"/>
    <x v="2"/>
    <x v="2"/>
    <x v="0"/>
  </r>
  <r>
    <s v="ORD022"/>
    <x v="66"/>
    <x v="7"/>
    <x v="0"/>
    <x v="6"/>
    <x v="0"/>
    <s v="Soft Drink"/>
    <n v="65"/>
    <n v="500"/>
    <n v="32500"/>
    <n v="380"/>
    <n v="12000"/>
    <n v="20500"/>
    <x v="2"/>
    <x v="2"/>
    <x v="2"/>
    <x v="2"/>
  </r>
  <r>
    <s v="ORD023"/>
    <x v="67"/>
    <x v="9"/>
    <x v="0"/>
    <x v="5"/>
    <x v="4"/>
    <s v="Soft Drink"/>
    <n v="45"/>
    <n v="460"/>
    <n v="20700"/>
    <n v="345"/>
    <n v="4500"/>
    <n v="16200"/>
    <x v="2"/>
    <x v="2"/>
    <x v="2"/>
    <x v="1"/>
  </r>
  <r>
    <s v="ORD023"/>
    <x v="68"/>
    <x v="9"/>
    <x v="0"/>
    <x v="4"/>
    <x v="3"/>
    <s v="Energy Drink"/>
    <n v="45"/>
    <n v="900"/>
    <n v="40500"/>
    <n v="720"/>
    <n v="13000"/>
    <n v="27500"/>
    <x v="2"/>
    <x v="2"/>
    <x v="2"/>
    <x v="2"/>
  </r>
  <r>
    <s v="ORD023"/>
    <x v="69"/>
    <x v="9"/>
    <x v="0"/>
    <x v="2"/>
    <x v="2"/>
    <s v="Soft Drink"/>
    <n v="78"/>
    <n v="480"/>
    <n v="37440"/>
    <n v="360"/>
    <n v="12000"/>
    <n v="25440"/>
    <x v="2"/>
    <x v="2"/>
    <x v="2"/>
    <x v="0"/>
  </r>
  <r>
    <s v="ORD024"/>
    <x v="70"/>
    <x v="1"/>
    <x v="2"/>
    <x v="7"/>
    <x v="5"/>
    <s v="Energy Drink"/>
    <n v="98"/>
    <n v="700"/>
    <n v="68600"/>
    <n v="540"/>
    <n v="20000"/>
    <n v="48600"/>
    <x v="2"/>
    <x v="2"/>
    <x v="2"/>
    <x v="1"/>
  </r>
  <r>
    <s v="ORD024"/>
    <x v="71"/>
    <x v="1"/>
    <x v="2"/>
    <x v="3"/>
    <x v="0"/>
    <s v="Soft Drink"/>
    <n v="34"/>
    <n v="450"/>
    <n v="15300"/>
    <n v="340"/>
    <n v="4500"/>
    <n v="10800"/>
    <x v="2"/>
    <x v="2"/>
    <x v="2"/>
    <x v="0"/>
  </r>
  <r>
    <s v="ORD025"/>
    <x v="72"/>
    <x v="2"/>
    <x v="2"/>
    <x v="1"/>
    <x v="1"/>
    <s v="Malt Drink"/>
    <n v="56"/>
    <n v="650"/>
    <n v="36400"/>
    <n v="500"/>
    <n v="16000"/>
    <n v="20400"/>
    <x v="2"/>
    <x v="2"/>
    <x v="2"/>
    <x v="1"/>
  </r>
  <r>
    <s v="ORD025"/>
    <x v="73"/>
    <x v="2"/>
    <x v="2"/>
    <x v="3"/>
    <x v="0"/>
    <s v="Soft Drink"/>
    <n v="76"/>
    <n v="450"/>
    <n v="34200"/>
    <n v="340"/>
    <n v="12000"/>
    <n v="22200"/>
    <x v="2"/>
    <x v="2"/>
    <x v="2"/>
    <x v="2"/>
  </r>
  <r>
    <s v="ORD025"/>
    <x v="74"/>
    <x v="2"/>
    <x v="2"/>
    <x v="1"/>
    <x v="1"/>
    <s v="Malt Drink"/>
    <n v="87"/>
    <n v="650"/>
    <n v="56550"/>
    <n v="500"/>
    <n v="13000"/>
    <n v="43550"/>
    <x v="5"/>
    <x v="5"/>
    <x v="5"/>
    <x v="2"/>
  </r>
  <r>
    <s v="ORD025"/>
    <x v="75"/>
    <x v="2"/>
    <x v="2"/>
    <x v="3"/>
    <x v="0"/>
    <s v="Soft Drink"/>
    <n v="98"/>
    <n v="450"/>
    <n v="44100"/>
    <n v="340"/>
    <n v="2000"/>
    <n v="42100"/>
    <x v="5"/>
    <x v="5"/>
    <x v="5"/>
    <x v="0"/>
  </r>
  <r>
    <s v="ORD026"/>
    <x v="76"/>
    <x v="9"/>
    <x v="0"/>
    <x v="5"/>
    <x v="4"/>
    <s v="Soft Drink"/>
    <n v="45"/>
    <n v="460"/>
    <n v="20700"/>
    <n v="345"/>
    <n v="5000"/>
    <n v="15700"/>
    <x v="5"/>
    <x v="5"/>
    <x v="5"/>
    <x v="0"/>
  </r>
  <r>
    <s v="ORD026"/>
    <x v="77"/>
    <x v="9"/>
    <x v="0"/>
    <x v="5"/>
    <x v="4"/>
    <s v="Soft Drink"/>
    <n v="67"/>
    <n v="460"/>
    <n v="30820"/>
    <n v="345"/>
    <n v="12000"/>
    <n v="18820"/>
    <x v="5"/>
    <x v="5"/>
    <x v="5"/>
    <x v="1"/>
  </r>
  <r>
    <s v="ORD026"/>
    <x v="78"/>
    <x v="9"/>
    <x v="0"/>
    <x v="3"/>
    <x v="0"/>
    <s v="Soft Drink"/>
    <n v="89"/>
    <n v="450"/>
    <n v="40050"/>
    <n v="340"/>
    <n v="13000"/>
    <n v="27050"/>
    <x v="5"/>
    <x v="5"/>
    <x v="5"/>
    <x v="1"/>
  </r>
  <r>
    <s v="ORD026"/>
    <x v="79"/>
    <x v="9"/>
    <x v="0"/>
    <x v="2"/>
    <x v="2"/>
    <s v="Soft Drink"/>
    <n v="55"/>
    <n v="480"/>
    <n v="26400"/>
    <n v="360"/>
    <n v="12000"/>
    <n v="14400"/>
    <x v="5"/>
    <x v="5"/>
    <x v="5"/>
    <x v="0"/>
  </r>
  <r>
    <s v="ORD027"/>
    <x v="80"/>
    <x v="11"/>
    <x v="3"/>
    <x v="0"/>
    <x v="0"/>
    <s v="Soft Drink"/>
    <n v="44"/>
    <n v="470"/>
    <n v="20680"/>
    <n v="350"/>
    <n v="5000"/>
    <n v="15680"/>
    <x v="5"/>
    <x v="5"/>
    <x v="5"/>
    <x v="0"/>
  </r>
  <r>
    <s v="ORD027"/>
    <x v="81"/>
    <x v="11"/>
    <x v="3"/>
    <x v="4"/>
    <x v="3"/>
    <s v="Energy Drink"/>
    <n v="33"/>
    <n v="900"/>
    <n v="29700"/>
    <n v="720"/>
    <n v="6000"/>
    <n v="23700"/>
    <x v="5"/>
    <x v="5"/>
    <x v="5"/>
    <x v="1"/>
  </r>
  <r>
    <s v="ORD027"/>
    <x v="82"/>
    <x v="11"/>
    <x v="3"/>
    <x v="1"/>
    <x v="1"/>
    <s v="Malt Drink"/>
    <n v="23"/>
    <n v="650"/>
    <n v="14950"/>
    <n v="500"/>
    <n v="5000"/>
    <n v="9950"/>
    <x v="5"/>
    <x v="5"/>
    <x v="5"/>
    <x v="2"/>
  </r>
  <r>
    <s v="ORD027"/>
    <x v="83"/>
    <x v="11"/>
    <x v="0"/>
    <x v="3"/>
    <x v="0"/>
    <s v="Soft Drink"/>
    <n v="56"/>
    <n v="450"/>
    <n v="25200"/>
    <n v="340"/>
    <n v="7000"/>
    <n v="18200"/>
    <x v="5"/>
    <x v="5"/>
    <x v="5"/>
    <x v="2"/>
  </r>
  <r>
    <s v="ORD027"/>
    <x v="84"/>
    <x v="11"/>
    <x v="0"/>
    <x v="4"/>
    <x v="3"/>
    <s v="Energy Drink"/>
    <n v="78"/>
    <n v="900"/>
    <n v="70200"/>
    <n v="720"/>
    <n v="12000"/>
    <n v="58200"/>
    <x v="5"/>
    <x v="5"/>
    <x v="5"/>
    <x v="1"/>
  </r>
  <r>
    <s v="ORD028"/>
    <x v="85"/>
    <x v="6"/>
    <x v="1"/>
    <x v="0"/>
    <x v="0"/>
    <s v="Soft Drink"/>
    <n v="97"/>
    <n v="470"/>
    <n v="45590"/>
    <n v="350"/>
    <n v="12500"/>
    <n v="33090"/>
    <x v="5"/>
    <x v="5"/>
    <x v="5"/>
    <x v="0"/>
  </r>
  <r>
    <s v="ORD028"/>
    <x v="86"/>
    <x v="6"/>
    <x v="1"/>
    <x v="0"/>
    <x v="0"/>
    <s v="Soft Drink"/>
    <n v="45"/>
    <n v="470"/>
    <n v="21150"/>
    <n v="350"/>
    <n v="1500"/>
    <n v="19650"/>
    <x v="4"/>
    <x v="4"/>
    <x v="4"/>
    <x v="1"/>
  </r>
  <r>
    <s v="ORD028"/>
    <x v="87"/>
    <x v="6"/>
    <x v="1"/>
    <x v="1"/>
    <x v="1"/>
    <s v="Malt Drink"/>
    <n v="100"/>
    <n v="650"/>
    <n v="65000"/>
    <n v="500"/>
    <n v="12000"/>
    <n v="53000"/>
    <x v="4"/>
    <x v="4"/>
    <x v="4"/>
    <x v="2"/>
  </r>
  <r>
    <s v="ORD029"/>
    <x v="88"/>
    <x v="4"/>
    <x v="0"/>
    <x v="4"/>
    <x v="3"/>
    <s v="Energy Drink"/>
    <n v="66"/>
    <n v="900"/>
    <n v="59400"/>
    <n v="720"/>
    <n v="12000"/>
    <n v="47400"/>
    <x v="4"/>
    <x v="4"/>
    <x v="4"/>
    <x v="0"/>
  </r>
  <r>
    <s v="ORD029"/>
    <x v="89"/>
    <x v="4"/>
    <x v="0"/>
    <x v="0"/>
    <x v="0"/>
    <s v="Soft Drink"/>
    <n v="43"/>
    <n v="470"/>
    <n v="20210"/>
    <n v="350"/>
    <n v="5600"/>
    <n v="14610"/>
    <x v="4"/>
    <x v="4"/>
    <x v="4"/>
    <x v="1"/>
  </r>
  <r>
    <s v="ORD030"/>
    <x v="90"/>
    <x v="1"/>
    <x v="1"/>
    <x v="5"/>
    <x v="4"/>
    <s v="Soft Drink"/>
    <n v="43"/>
    <n v="460"/>
    <n v="19780"/>
    <n v="345"/>
    <n v="3000"/>
    <n v="16780"/>
    <x v="4"/>
    <x v="4"/>
    <x v="4"/>
    <x v="2"/>
  </r>
  <r>
    <s v="ORD030"/>
    <x v="91"/>
    <x v="1"/>
    <x v="1"/>
    <x v="6"/>
    <x v="0"/>
    <s v="Soft Drink"/>
    <n v="76"/>
    <n v="500"/>
    <n v="38000"/>
    <n v="380"/>
    <n v="12000"/>
    <n v="26000"/>
    <x v="4"/>
    <x v="4"/>
    <x v="4"/>
    <x v="0"/>
  </r>
  <r>
    <s v="ORD030"/>
    <x v="92"/>
    <x v="1"/>
    <x v="1"/>
    <x v="1"/>
    <x v="1"/>
    <s v="Malt Drink"/>
    <n v="87"/>
    <n v="650"/>
    <n v="56550"/>
    <n v="500"/>
    <n v="15000"/>
    <n v="41550"/>
    <x v="4"/>
    <x v="4"/>
    <x v="4"/>
    <x v="2"/>
  </r>
  <r>
    <s v="ORD030"/>
    <x v="93"/>
    <x v="1"/>
    <x v="1"/>
    <x v="3"/>
    <x v="0"/>
    <s v="Soft Drink"/>
    <n v="98"/>
    <n v="450"/>
    <n v="44100"/>
    <n v="340"/>
    <n v="12000"/>
    <n v="32100"/>
    <x v="4"/>
    <x v="4"/>
    <x v="4"/>
    <x v="0"/>
  </r>
  <r>
    <s v="ORD031"/>
    <x v="94"/>
    <x v="10"/>
    <x v="2"/>
    <x v="0"/>
    <x v="0"/>
    <s v="Soft Drink"/>
    <n v="55"/>
    <n v="470"/>
    <n v="25850"/>
    <n v="350"/>
    <n v="13000"/>
    <n v="12850"/>
    <x v="4"/>
    <x v="4"/>
    <x v="4"/>
    <x v="1"/>
  </r>
  <r>
    <s v="ORD031"/>
    <x v="95"/>
    <x v="10"/>
    <x v="2"/>
    <x v="0"/>
    <x v="0"/>
    <s v="Soft Drink"/>
    <n v="44"/>
    <n v="470"/>
    <n v="20680"/>
    <n v="350"/>
    <n v="7000"/>
    <n v="13680"/>
    <x v="2"/>
    <x v="2"/>
    <x v="2"/>
    <x v="2"/>
  </r>
  <r>
    <s v="ORD031"/>
    <x v="96"/>
    <x v="10"/>
    <x v="2"/>
    <x v="7"/>
    <x v="5"/>
    <s v="Energy Drink"/>
    <n v="32"/>
    <n v="700"/>
    <n v="22400"/>
    <n v="540"/>
    <n v="6000"/>
    <n v="16400"/>
    <x v="3"/>
    <x v="3"/>
    <x v="3"/>
    <x v="1"/>
  </r>
  <r>
    <s v="ORD032"/>
    <x v="97"/>
    <x v="1"/>
    <x v="2"/>
    <x v="4"/>
    <x v="3"/>
    <s v="Energy Drink"/>
    <n v="67"/>
    <n v="900"/>
    <n v="60300"/>
    <n v="720"/>
    <n v="12000"/>
    <n v="48300"/>
    <x v="5"/>
    <x v="5"/>
    <x v="5"/>
    <x v="0"/>
  </r>
  <r>
    <s v="ORD032"/>
    <x v="98"/>
    <x v="1"/>
    <x v="2"/>
    <x v="4"/>
    <x v="3"/>
    <s v="Energy Drink"/>
    <n v="98"/>
    <n v="900"/>
    <n v="88200"/>
    <n v="720"/>
    <n v="30000"/>
    <n v="58200"/>
    <x v="3"/>
    <x v="3"/>
    <x v="3"/>
    <x v="2"/>
  </r>
  <r>
    <s v="ORD032"/>
    <x v="99"/>
    <x v="1"/>
    <x v="2"/>
    <x v="7"/>
    <x v="5"/>
    <s v="Energy Drink"/>
    <n v="55"/>
    <n v="700"/>
    <n v="38500"/>
    <n v="540"/>
    <n v="12000"/>
    <n v="26500"/>
    <x v="3"/>
    <x v="3"/>
    <x v="3"/>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E000000}" name="PivotTable9"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9">
  <location ref="M3:N7" firstHeaderRow="1" firstDataRow="1" firstDataCol="1"/>
  <pivotFields count="17">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numFmtId="164" showAll="0"/>
    <pivotField dataField="1" numFmtId="164" showAll="0"/>
    <pivotField numFmtId="164" showAll="0"/>
    <pivotField numFmtId="164" showAll="0"/>
    <pivotField numFmtId="164" showAll="0" defaultSubtotal="0"/>
    <pivotField showAll="0"/>
    <pivotField showAll="0">
      <items count="7">
        <item h="1" x="3"/>
        <item h="1" x="5"/>
        <item h="1" x="4"/>
        <item x="2"/>
        <item h="1" x="1"/>
        <item h="1" x="0"/>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s>
  <rowFields count="1">
    <field x="16"/>
  </rowFields>
  <rowItems count="4">
    <i>
      <x v="1"/>
    </i>
    <i>
      <x v="2"/>
    </i>
    <i>
      <x/>
    </i>
    <i t="grand">
      <x/>
    </i>
  </rowItems>
  <colItems count="1">
    <i/>
  </colItems>
  <dataFields count="1">
    <dataField name="Sum of Sales" fld="9" baseField="16" baseItem="0" numFmtId="164"/>
  </dataFields>
  <chartFormats count="12">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16" count="1" selected="0">
            <x v="0"/>
          </reference>
        </references>
      </pivotArea>
    </chartFormat>
    <chartFormat chart="3" format="3">
      <pivotArea type="data" outline="0" fieldPosition="0">
        <references count="2">
          <reference field="4294967294" count="1" selected="0">
            <x v="0"/>
          </reference>
          <reference field="16" count="1" selected="0">
            <x v="1"/>
          </reference>
        </references>
      </pivotArea>
    </chartFormat>
    <chartFormat chart="3" format="4">
      <pivotArea type="data" outline="0" fieldPosition="0">
        <references count="2">
          <reference field="4294967294" count="1" selected="0">
            <x v="0"/>
          </reference>
          <reference field="16" count="1" selected="0">
            <x v="2"/>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6" count="1" selected="0">
            <x v="0"/>
          </reference>
        </references>
      </pivotArea>
    </chartFormat>
    <chartFormat chart="4" format="7">
      <pivotArea type="data" outline="0" fieldPosition="0">
        <references count="2">
          <reference field="4294967294" count="1" selected="0">
            <x v="0"/>
          </reference>
          <reference field="16" count="1" selected="0">
            <x v="1"/>
          </reference>
        </references>
      </pivotArea>
    </chartFormat>
    <chartFormat chart="4" format="8">
      <pivotArea type="data" outline="0" fieldPosition="0">
        <references count="2">
          <reference field="4294967294" count="1" selected="0">
            <x v="0"/>
          </reference>
          <reference field="16" count="1" selected="0">
            <x v="2"/>
          </reference>
        </references>
      </pivotArea>
    </chartFormat>
    <chartFormat chart="0" format="1">
      <pivotArea type="data" outline="0" fieldPosition="0">
        <references count="2">
          <reference field="4294967294" count="1" selected="0">
            <x v="0"/>
          </reference>
          <reference field="16" count="1" selected="0">
            <x v="0"/>
          </reference>
        </references>
      </pivotArea>
    </chartFormat>
    <chartFormat chart="0" format="2">
      <pivotArea type="data" outline="0" fieldPosition="0">
        <references count="2">
          <reference field="4294967294" count="1" selected="0">
            <x v="0"/>
          </reference>
          <reference field="16" count="1" selected="0">
            <x v="1"/>
          </reference>
        </references>
      </pivotArea>
    </chartFormat>
    <chartFormat chart="0" format="3">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5000000}" name="PivotTable14" cacheId="0" applyNumberFormats="0" applyBorderFormats="0" applyFontFormats="0" applyPatternFormats="0" applyAlignmentFormats="0" applyWidthHeightFormats="1" dataCaption="Values" updatedVersion="8" minRefreshableVersion="5" useAutoFormatting="1" itemPrintTitles="1" createdVersion="5" indent="0" outline="1" outlineData="1" multipleFieldFilters="0">
  <location ref="F32:G41" firstHeaderRow="1" firstDataRow="1" firstDataCol="1"/>
  <pivotFields count="17">
    <pivotField showAll="0"/>
    <pivotField showAll="0">
      <items count="15">
        <item x="0"/>
        <item x="1"/>
        <item x="2"/>
        <item x="3"/>
        <item x="4"/>
        <item x="5"/>
        <item x="6"/>
        <item x="7"/>
        <item x="8"/>
        <item x="9"/>
        <item x="10"/>
        <item x="11"/>
        <item x="12"/>
        <item x="13"/>
        <item t="default"/>
      </items>
    </pivotField>
    <pivotField showAll="0"/>
    <pivotField showAll="0">
      <items count="5">
        <item x="2"/>
        <item x="3"/>
        <item x="0"/>
        <item x="1"/>
        <item t="default"/>
      </items>
    </pivotField>
    <pivotField axis="axisRow" showAll="0" sortType="descending">
      <items count="9">
        <item x="5"/>
        <item x="6"/>
        <item x="3"/>
        <item x="7"/>
        <item x="1"/>
        <item x="4"/>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4" showAll="0"/>
    <pivotField numFmtId="164" showAll="0"/>
    <pivotField numFmtId="164" showAll="0"/>
    <pivotField numFmtId="164" showAll="0"/>
    <pivotField dataField="1" numFmtId="164" showAll="0" defaultSubtotal="0"/>
    <pivotField showAll="0"/>
    <pivotField showAll="0">
      <items count="7">
        <item h="1" x="3"/>
        <item h="1" x="5"/>
        <item h="1" x="4"/>
        <item x="2"/>
        <item h="1" x="1"/>
        <item h="1" x="0"/>
        <item t="default"/>
      </items>
    </pivotField>
    <pivotField showAll="0">
      <items count="7">
        <item x="2"/>
        <item x="1"/>
        <item x="0"/>
        <item x="5"/>
        <item x="4"/>
        <item x="3"/>
        <item t="default"/>
      </items>
    </pivotField>
    <pivotField showAll="0">
      <items count="4">
        <item x="0"/>
        <item x="1"/>
        <item x="2"/>
        <item t="default"/>
      </items>
    </pivotField>
  </pivotFields>
  <rowFields count="1">
    <field x="4"/>
  </rowFields>
  <rowItems count="9">
    <i>
      <x v="3"/>
    </i>
    <i>
      <x v="4"/>
    </i>
    <i>
      <x v="1"/>
    </i>
    <i>
      <x v="5"/>
    </i>
    <i>
      <x v="2"/>
    </i>
    <i>
      <x v="6"/>
    </i>
    <i>
      <x/>
    </i>
    <i>
      <x v="7"/>
    </i>
    <i t="grand">
      <x/>
    </i>
  </rowItems>
  <colItems count="1">
    <i/>
  </colItems>
  <dataFields count="1">
    <dataField name="Sum of Total Expenses" fld="12" baseField="4" baseItem="5"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6000000}" name="PivotTable15"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location ref="C49:E66" firstHeaderRow="1" firstDataRow="1" firstDataCol="0"/>
  <pivotFields count="17">
    <pivotField showAll="0"/>
    <pivotField showAll="0"/>
    <pivotField showAll="0">
      <items count="13">
        <item x="5"/>
        <item x="2"/>
        <item x="3"/>
        <item x="0"/>
        <item x="9"/>
        <item x="10"/>
        <item x="4"/>
        <item x="7"/>
        <item x="11"/>
        <item x="6"/>
        <item x="8"/>
        <item x="1"/>
        <item t="default"/>
      </items>
    </pivotField>
    <pivotField showAll="0"/>
    <pivotField showAll="0"/>
    <pivotField showAll="0"/>
    <pivotField showAll="0"/>
    <pivotField showAll="0"/>
    <pivotField numFmtId="164" showAll="0"/>
    <pivotField numFmtId="164" showAll="0"/>
    <pivotField numFmtId="164" showAll="0"/>
    <pivotField numFmtId="164" showAll="0"/>
    <pivotField numFmtId="164" showAll="0" defaultSubtotal="0"/>
    <pivotField showAll="0">
      <items count="7">
        <item x="3"/>
        <item x="4"/>
        <item x="2"/>
        <item x="5"/>
        <item x="0"/>
        <item x="1"/>
        <item t="default"/>
      </items>
    </pivotField>
    <pivotField showAll="0">
      <items count="7">
        <item h="1" x="3"/>
        <item h="1" x="5"/>
        <item h="1" x="4"/>
        <item x="2"/>
        <item h="1" x="1"/>
        <item h="1" x="0"/>
        <item t="default"/>
      </items>
    </pivotField>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10"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12">
  <location ref="N13:O18" firstHeaderRow="1" firstDataRow="1" firstDataCol="1"/>
  <pivotFields count="17">
    <pivotField showAll="0"/>
    <pivotField showAll="0" sortType="descending">
      <autoSortScope>
        <pivotArea dataOnly="0" outline="0" fieldPosition="0">
          <references count="1">
            <reference field="4294967294" count="1" selected="0">
              <x v="0"/>
            </reference>
          </references>
        </pivotArea>
      </autoSortScope>
    </pivotField>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64" showAll="0"/>
    <pivotField dataField="1" numFmtId="164" showAll="0"/>
    <pivotField numFmtId="164" showAll="0"/>
    <pivotField numFmtId="164" showAll="0"/>
    <pivotField numFmtId="164" showAll="0" defaultSubtotal="0"/>
    <pivotField showAll="0"/>
    <pivotField showAll="0">
      <items count="7">
        <item h="1" x="3"/>
        <item h="1" x="5"/>
        <item h="1" x="4"/>
        <item x="2"/>
        <item h="1" x="1"/>
        <item h="1" x="0"/>
        <item t="default"/>
      </items>
    </pivotField>
    <pivotField showAll="0"/>
    <pivotField showAll="0" sortType="descending">
      <autoSortScope>
        <pivotArea dataOnly="0" outline="0" fieldPosition="0">
          <references count="1">
            <reference field="4294967294" count="1" selected="0">
              <x v="0"/>
            </reference>
          </references>
        </pivotArea>
      </autoSortScope>
    </pivotField>
  </pivotFields>
  <rowFields count="1">
    <field x="3"/>
  </rowFields>
  <rowItems count="5">
    <i>
      <x v="2"/>
    </i>
    <i>
      <x/>
    </i>
    <i>
      <x v="1"/>
    </i>
    <i>
      <x v="3"/>
    </i>
    <i t="grand">
      <x/>
    </i>
  </rowItems>
  <colItems count="1">
    <i/>
  </colItems>
  <dataFields count="1">
    <dataField name="Sum of Sales" fld="9" baseField="1" baseItem="3" numFmtId="164"/>
  </dataFields>
  <chartFormats count="21">
    <chartFormat chart="0"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3" count="1" selected="0">
            <x v="2"/>
          </reference>
        </references>
      </pivotArea>
    </chartFormat>
    <chartFormat chart="5" format="8">
      <pivotArea type="data" outline="0" fieldPosition="0">
        <references count="2">
          <reference field="4294967294" count="1" selected="0">
            <x v="0"/>
          </reference>
          <reference field="3" count="1" selected="0">
            <x v="3"/>
          </reference>
        </references>
      </pivotArea>
    </chartFormat>
    <chartFormat chart="5" format="9">
      <pivotArea type="data" outline="0" fieldPosition="0">
        <references count="2">
          <reference field="4294967294" count="1" selected="0">
            <x v="0"/>
          </reference>
          <reference field="3" count="1" selected="0">
            <x v="0"/>
          </reference>
        </references>
      </pivotArea>
    </chartFormat>
    <chartFormat chart="5" format="10">
      <pivotArea type="data" outline="0" fieldPosition="0">
        <references count="2">
          <reference field="4294967294" count="1" selected="0">
            <x v="0"/>
          </reference>
          <reference field="3" count="1" selected="0">
            <x v="1"/>
          </reference>
        </references>
      </pivotArea>
    </chartFormat>
    <chartFormat chart="8"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0" format="2">
      <pivotArea type="data" outline="0" fieldPosition="0">
        <references count="2">
          <reference field="4294967294" count="1" selected="0">
            <x v="0"/>
          </reference>
          <reference field="3" count="1" selected="0">
            <x v="2"/>
          </reference>
        </references>
      </pivotArea>
    </chartFormat>
    <chartFormat chart="10" format="3">
      <pivotArea type="data" outline="0" fieldPosition="0">
        <references count="2">
          <reference field="4294967294" count="1" selected="0">
            <x v="0"/>
          </reference>
          <reference field="3" count="1" selected="0">
            <x v="3"/>
          </reference>
        </references>
      </pivotArea>
    </chartFormat>
    <chartFormat chart="10" format="4">
      <pivotArea type="data" outline="0" fieldPosition="0">
        <references count="2">
          <reference field="4294967294" count="1" selected="0">
            <x v="0"/>
          </reference>
          <reference field="3" count="1" selected="0">
            <x v="0"/>
          </reference>
        </references>
      </pivotArea>
    </chartFormat>
    <chartFormat chart="10" format="5">
      <pivotArea type="data" outline="0" fieldPosition="0">
        <references count="2">
          <reference field="4294967294" count="1" selected="0">
            <x v="0"/>
          </reference>
          <reference field="3" count="1" selected="0">
            <x v="1"/>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3" count="1" selected="0">
            <x v="2"/>
          </reference>
        </references>
      </pivotArea>
    </chartFormat>
    <chartFormat chart="11" format="8">
      <pivotArea type="data" outline="0" fieldPosition="0">
        <references count="2">
          <reference field="4294967294" count="1" selected="0">
            <x v="0"/>
          </reference>
          <reference field="3" count="1" selected="0">
            <x v="3"/>
          </reference>
        </references>
      </pivotArea>
    </chartFormat>
    <chartFormat chart="11" format="9">
      <pivotArea type="data" outline="0" fieldPosition="0">
        <references count="2">
          <reference field="4294967294" count="1" selected="0">
            <x v="0"/>
          </reference>
          <reference field="3" count="1" selected="0">
            <x v="0"/>
          </reference>
        </references>
      </pivotArea>
    </chartFormat>
    <chartFormat chart="11" format="10">
      <pivotArea type="data" outline="0" fieldPosition="0">
        <references count="2">
          <reference field="4294967294" count="1" selected="0">
            <x v="0"/>
          </reference>
          <reference field="3" count="1" selected="0">
            <x v="1"/>
          </reference>
        </references>
      </pivotArea>
    </chartFormat>
    <chartFormat chart="8" format="1">
      <pivotArea type="data" outline="0" fieldPosition="0">
        <references count="2">
          <reference field="4294967294" count="1" selected="0">
            <x v="0"/>
          </reference>
          <reference field="3" count="1" selected="0">
            <x v="2"/>
          </reference>
        </references>
      </pivotArea>
    </chartFormat>
    <chartFormat chart="8" format="2">
      <pivotArea type="data" outline="0" fieldPosition="0">
        <references count="2">
          <reference field="4294967294" count="1" selected="0">
            <x v="0"/>
          </reference>
          <reference field="3" count="1" selected="0">
            <x v="3"/>
          </reference>
        </references>
      </pivotArea>
    </chartFormat>
    <chartFormat chart="8" format="3">
      <pivotArea type="data" outline="0" fieldPosition="0">
        <references count="2">
          <reference field="4294967294" count="1" selected="0">
            <x v="0"/>
          </reference>
          <reference field="3" count="1" selected="0">
            <x v="0"/>
          </reference>
        </references>
      </pivotArea>
    </chartFormat>
    <chartFormat chart="8" format="4">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000-000004000000}" name="PivotTable13" cacheId="0" applyNumberFormats="0" applyBorderFormats="0" applyFontFormats="0" applyPatternFormats="0" applyAlignmentFormats="0" applyWidthHeightFormats="1" dataCaption="Values" updatedVersion="8" minRefreshableVersion="5" useAutoFormatting="1" itemPrintTitles="1" createdVersion="5" indent="0" outline="1" outlineData="1" multipleFieldFilters="0">
  <location ref="J24:J25" firstHeaderRow="1" firstDataRow="1" firstDataCol="0"/>
  <pivotFields count="17">
    <pivotField showAll="0"/>
    <pivotField showAll="0">
      <items count="15">
        <item x="0"/>
        <item x="1"/>
        <item x="2"/>
        <item x="3"/>
        <item x="4"/>
        <item x="5"/>
        <item x="6"/>
        <item x="7"/>
        <item x="8"/>
        <item x="9"/>
        <item x="10"/>
        <item x="11"/>
        <item x="12"/>
        <item x="13"/>
        <item t="default"/>
      </items>
    </pivotField>
    <pivotField showAll="0"/>
    <pivotField showAll="0">
      <items count="5">
        <item x="2"/>
        <item x="3"/>
        <item x="0"/>
        <item x="1"/>
        <item t="default"/>
      </items>
    </pivotField>
    <pivotField showAll="0"/>
    <pivotField showAll="0"/>
    <pivotField showAll="0"/>
    <pivotField dataField="1" showAll="0"/>
    <pivotField numFmtId="164" showAll="0"/>
    <pivotField numFmtId="164" showAll="0"/>
    <pivotField numFmtId="164" showAll="0"/>
    <pivotField numFmtId="164" showAll="0"/>
    <pivotField numFmtId="164" showAll="0" defaultSubtotal="0"/>
    <pivotField showAll="0"/>
    <pivotField showAll="0">
      <items count="7">
        <item h="1" x="3"/>
        <item h="1" x="5"/>
        <item h="1" x="4"/>
        <item x="2"/>
        <item h="1" x="1"/>
        <item h="1" x="0"/>
        <item t="default"/>
      </items>
    </pivotField>
    <pivotField showAll="0">
      <items count="7">
        <item x="2"/>
        <item x="1"/>
        <item x="0"/>
        <item x="5"/>
        <item x="4"/>
        <item x="3"/>
        <item t="default"/>
      </items>
    </pivotField>
    <pivotField showAll="0">
      <items count="4">
        <item x="0"/>
        <item x="1"/>
        <item x="2"/>
        <item t="default"/>
      </items>
    </pivotField>
  </pivotFields>
  <rowItems count="1">
    <i/>
  </rowItems>
  <colItems count="1">
    <i/>
  </colItems>
  <dataFields count="1">
    <dataField name="Sum of Qual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8000000}" name="PivotTable3"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location ref="D3:E12" firstHeaderRow="1" firstDataRow="1" firstDataCol="1"/>
  <pivotFields count="17">
    <pivotField showAll="0"/>
    <pivotField showAll="0"/>
    <pivotField showAll="0"/>
    <pivotField showAll="0"/>
    <pivotField axis="axisRow" showAll="0" sortType="descending">
      <items count="9">
        <item x="5"/>
        <item x="6"/>
        <item x="3"/>
        <item x="7"/>
        <item x="1"/>
        <item x="4"/>
        <item x="2"/>
        <item x="0"/>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numFmtId="164" showAll="0"/>
    <pivotField numFmtId="164" showAll="0"/>
    <pivotField numFmtId="164" showAll="0"/>
    <pivotField numFmtId="164" showAll="0"/>
    <pivotField numFmtId="164" showAll="0" defaultSubtotal="0"/>
    <pivotField showAll="0"/>
    <pivotField showAll="0">
      <items count="7">
        <item h="1" x="3"/>
        <item h="1" x="5"/>
        <item h="1" x="4"/>
        <item x="2"/>
        <item h="1" x="1"/>
        <item h="1" x="0"/>
        <item t="default"/>
      </items>
    </pivotField>
    <pivotField showAll="0"/>
    <pivotField showAll="0"/>
  </pivotFields>
  <rowFields count="1">
    <field x="4"/>
  </rowFields>
  <rowItems count="9">
    <i>
      <x v="1"/>
    </i>
    <i>
      <x v="4"/>
    </i>
    <i>
      <x v="2"/>
    </i>
    <i>
      <x v="3"/>
    </i>
    <i>
      <x v="6"/>
    </i>
    <i>
      <x v="5"/>
    </i>
    <i>
      <x/>
    </i>
    <i>
      <x v="7"/>
    </i>
    <i t="grand">
      <x/>
    </i>
  </rowItems>
  <colItems count="1">
    <i/>
  </colItems>
  <dataFields count="1">
    <dataField name="Sum of Qual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000-000007000000}" name="PivotTable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27">
  <location ref="A19:B26" firstHeaderRow="1" firstDataRow="1" firstDataCol="1"/>
  <pivotFields count="17">
    <pivotField showAll="0"/>
    <pivotField showAll="0"/>
    <pivotField showAll="0"/>
    <pivotField showAll="0"/>
    <pivotField showAll="0"/>
    <pivotField axis="axisRow" showAll="0" sortType="descending">
      <items count="7">
        <item x="4"/>
        <item x="0"/>
        <item x="5"/>
        <item x="1"/>
        <item x="3"/>
        <item x="2"/>
        <item t="default"/>
      </items>
      <autoSortScope>
        <pivotArea dataOnly="0" outline="0" fieldPosition="0">
          <references count="1">
            <reference field="4294967294" count="1" selected="0">
              <x v="0"/>
            </reference>
          </references>
        </pivotArea>
      </autoSortScope>
    </pivotField>
    <pivotField showAll="0"/>
    <pivotField showAll="0"/>
    <pivotField numFmtId="164" showAll="0"/>
    <pivotField numFmtId="164" showAll="0"/>
    <pivotField numFmtId="164" showAll="0"/>
    <pivotField dataField="1" numFmtId="164" showAll="0"/>
    <pivotField numFmtId="164" showAll="0" defaultSubtotal="0"/>
    <pivotField showAll="0"/>
    <pivotField showAll="0">
      <items count="7">
        <item h="1" x="3"/>
        <item h="1" x="5"/>
        <item h="1" x="4"/>
        <item x="2"/>
        <item h="1" x="1"/>
        <item h="1" x="0"/>
        <item t="default"/>
      </items>
    </pivotField>
    <pivotField showAll="0"/>
    <pivotField showAll="0"/>
  </pivotFields>
  <rowFields count="1">
    <field x="5"/>
  </rowFields>
  <rowItems count="7">
    <i>
      <x v="1"/>
    </i>
    <i>
      <x v="3"/>
    </i>
    <i>
      <x v="2"/>
    </i>
    <i>
      <x v="4"/>
    </i>
    <i>
      <x v="5"/>
    </i>
    <i>
      <x/>
    </i>
    <i t="grand">
      <x/>
    </i>
  </rowItems>
  <colItems count="1">
    <i/>
  </colItems>
  <dataFields count="1">
    <dataField name="Sum of Profit" fld="11" baseField="5"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21">
  <location ref="A3:B12" firstHeaderRow="1" firstDataRow="1" firstDataCol="1"/>
  <pivotFields count="17">
    <pivotField showAll="0"/>
    <pivotField showAll="0"/>
    <pivotField showAll="0"/>
    <pivotField showAll="0"/>
    <pivotField axis="axisRow" showAll="0" sortType="descending">
      <items count="9">
        <item x="5"/>
        <item x="6"/>
        <item x="3"/>
        <item x="7"/>
        <item x="1"/>
        <item x="4"/>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4" showAll="0"/>
    <pivotField dataField="1" numFmtId="164" showAll="0"/>
    <pivotField numFmtId="164" showAll="0"/>
    <pivotField numFmtId="164" showAll="0"/>
    <pivotField numFmtId="164" showAll="0" defaultSubtotal="0"/>
    <pivotField showAll="0"/>
    <pivotField showAll="0">
      <items count="7">
        <item h="1" x="3"/>
        <item h="1" x="5"/>
        <item h="1" x="4"/>
        <item x="2"/>
        <item h="1" x="1"/>
        <item h="1" x="0"/>
        <item t="default"/>
      </items>
    </pivotField>
    <pivotField showAll="0"/>
    <pivotField showAll="0"/>
  </pivotFields>
  <rowFields count="1">
    <field x="4"/>
  </rowFields>
  <rowItems count="9">
    <i>
      <x v="3"/>
    </i>
    <i>
      <x v="4"/>
    </i>
    <i>
      <x v="1"/>
    </i>
    <i>
      <x v="5"/>
    </i>
    <i>
      <x v="2"/>
    </i>
    <i>
      <x v="6"/>
    </i>
    <i>
      <x/>
    </i>
    <i>
      <x v="7"/>
    </i>
    <i t="grand">
      <x/>
    </i>
  </rowItems>
  <colItems count="1">
    <i/>
  </colItems>
  <dataFields count="1">
    <dataField name="Sum of Sales" fld="9" baseField="4" baseItem="5" numFmtId="164"/>
  </dataFields>
  <chartFormats count="5">
    <chartFormat chart="0" format="3"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000-00000B000000}" name="PivotTable6"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location ref="G16:H24" firstHeaderRow="1" firstDataRow="1" firstDataCol="1"/>
  <pivotFields count="17">
    <pivotField showAll="0"/>
    <pivotField showAll="0"/>
    <pivotField axis="axisRow" showAll="0" sortType="descending">
      <items count="13">
        <item x="5"/>
        <item x="2"/>
        <item x="3"/>
        <item x="0"/>
        <item x="9"/>
        <item x="10"/>
        <item x="4"/>
        <item x="7"/>
        <item x="11"/>
        <item x="6"/>
        <item x="8"/>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64" showAll="0"/>
    <pivotField dataField="1" numFmtId="164" showAll="0"/>
    <pivotField numFmtId="164" showAll="0"/>
    <pivotField numFmtId="164" showAll="0"/>
    <pivotField numFmtId="164" showAll="0" defaultSubtotal="0"/>
    <pivotField showAll="0" sortType="descending">
      <autoSortScope>
        <pivotArea dataOnly="0" outline="0" fieldPosition="0">
          <references count="1">
            <reference field="4294967294" count="1" selected="0">
              <x v="0"/>
            </reference>
          </references>
        </pivotArea>
      </autoSortScope>
    </pivotField>
    <pivotField showAll="0">
      <items count="7">
        <item h="1" x="3"/>
        <item h="1" x="5"/>
        <item h="1" x="4"/>
        <item x="2"/>
        <item h="1" x="1"/>
        <item h="1" x="0"/>
        <item t="default"/>
      </items>
    </pivotField>
    <pivotField showAll="0"/>
    <pivotField showAll="0"/>
  </pivotFields>
  <rowFields count="1">
    <field x="2"/>
  </rowFields>
  <rowItems count="8">
    <i>
      <x v="7"/>
    </i>
    <i>
      <x v="11"/>
    </i>
    <i>
      <x v="4"/>
    </i>
    <i>
      <x v="9"/>
    </i>
    <i>
      <x v="1"/>
    </i>
    <i>
      <x v="5"/>
    </i>
    <i>
      <x v="2"/>
    </i>
    <i t="grand">
      <x/>
    </i>
  </rowItems>
  <colItems count="1">
    <i/>
  </colItems>
  <dataFields count="1">
    <dataField name="Sum of Sales" fld="9" baseField="12" baseItem="2"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000-000009000000}" name="PivotTable4"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8">
  <location ref="D16:E18" firstHeaderRow="1" firstDataRow="1" firstDataCol="1"/>
  <pivotFields count="17">
    <pivotField showAll="0"/>
    <pivotField showAll="0"/>
    <pivotField showAll="0"/>
    <pivotField showAll="0"/>
    <pivotField showAll="0"/>
    <pivotField showAll="0"/>
    <pivotField showAll="0"/>
    <pivotField showAll="0"/>
    <pivotField numFmtId="164" showAll="0"/>
    <pivotField dataField="1" numFmtId="164" showAll="0"/>
    <pivotField numFmtId="164" showAll="0"/>
    <pivotField numFmtId="164" showAll="0"/>
    <pivotField numFmtId="164" showAll="0" defaultSubtotal="0"/>
    <pivotField axis="axisRow" showAll="0" sortType="descending">
      <items count="7">
        <item x="3"/>
        <item x="4"/>
        <item x="2"/>
        <item x="5"/>
        <item x="0"/>
        <item x="1"/>
        <item t="default"/>
      </items>
      <autoSortScope>
        <pivotArea dataOnly="0" outline="0" fieldPosition="0">
          <references count="1">
            <reference field="4294967294" count="1" selected="0">
              <x v="0"/>
            </reference>
          </references>
        </pivotArea>
      </autoSortScope>
    </pivotField>
    <pivotField showAll="0">
      <items count="7">
        <item h="1" x="3"/>
        <item h="1" x="5"/>
        <item h="1" x="4"/>
        <item x="2"/>
        <item h="1" x="1"/>
        <item h="1" x="0"/>
        <item t="default"/>
      </items>
    </pivotField>
    <pivotField showAll="0"/>
    <pivotField showAll="0"/>
  </pivotFields>
  <rowFields count="1">
    <field x="13"/>
  </rowFields>
  <rowItems count="2">
    <i>
      <x v="2"/>
    </i>
    <i t="grand">
      <x/>
    </i>
  </rowItems>
  <colItems count="1">
    <i/>
  </colItems>
  <dataFields count="1">
    <dataField name="Sum of Sales" fld="9" baseField="12" baseItem="2" numFmtId="165"/>
  </dataFields>
  <chartFormats count="14">
    <chartFormat chart="3" format="0" series="1">
      <pivotArea type="data" outline="0" fieldPosition="0">
        <references count="1">
          <reference field="4294967294" count="1" selected="0">
            <x v="0"/>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13" count="1" selected="0">
            <x v="3"/>
          </reference>
        </references>
      </pivotArea>
    </chartFormat>
    <chartFormat chart="6" format="10">
      <pivotArea type="data" outline="0" fieldPosition="0">
        <references count="2">
          <reference field="4294967294" count="1" selected="0">
            <x v="0"/>
          </reference>
          <reference field="13" count="1" selected="0">
            <x v="2"/>
          </reference>
        </references>
      </pivotArea>
    </chartFormat>
    <chartFormat chart="6" format="11">
      <pivotArea type="data" outline="0" fieldPosition="0">
        <references count="2">
          <reference field="4294967294" count="1" selected="0">
            <x v="0"/>
          </reference>
          <reference field="13" count="1" selected="0">
            <x v="1"/>
          </reference>
        </references>
      </pivotArea>
    </chartFormat>
    <chartFormat chart="6" format="12">
      <pivotArea type="data" outline="0" fieldPosition="0">
        <references count="2">
          <reference field="4294967294" count="1" selected="0">
            <x v="0"/>
          </reference>
          <reference field="13" count="1" selected="0">
            <x v="4"/>
          </reference>
        </references>
      </pivotArea>
    </chartFormat>
    <chartFormat chart="6" format="13">
      <pivotArea type="data" outline="0" fieldPosition="0">
        <references count="2">
          <reference field="4294967294" count="1" selected="0">
            <x v="0"/>
          </reference>
          <reference field="13" count="1" selected="0">
            <x v="0"/>
          </reference>
        </references>
      </pivotArea>
    </chartFormat>
    <chartFormat chart="6" format="14">
      <pivotArea type="data" outline="0" fieldPosition="0">
        <references count="2">
          <reference field="4294967294" count="1" selected="0">
            <x v="0"/>
          </reference>
          <reference field="13" count="1" selected="0">
            <x v="5"/>
          </reference>
        </references>
      </pivotArea>
    </chartFormat>
    <chartFormat chart="3" format="1">
      <pivotArea type="data" outline="0" fieldPosition="0">
        <references count="2">
          <reference field="4294967294" count="1" selected="0">
            <x v="0"/>
          </reference>
          <reference field="13" count="1" selected="0">
            <x v="3"/>
          </reference>
        </references>
      </pivotArea>
    </chartFormat>
    <chartFormat chart="3" format="2">
      <pivotArea type="data" outline="0" fieldPosition="0">
        <references count="2">
          <reference field="4294967294" count="1" selected="0">
            <x v="0"/>
          </reference>
          <reference field="13" count="1" selected="0">
            <x v="2"/>
          </reference>
        </references>
      </pivotArea>
    </chartFormat>
    <chartFormat chart="3" format="3">
      <pivotArea type="data" outline="0" fieldPosition="0">
        <references count="2">
          <reference field="4294967294" count="1" selected="0">
            <x v="0"/>
          </reference>
          <reference field="13" count="1" selected="0">
            <x v="1"/>
          </reference>
        </references>
      </pivotArea>
    </chartFormat>
    <chartFormat chart="3" format="4">
      <pivotArea type="data" outline="0" fieldPosition="0">
        <references count="2">
          <reference field="4294967294" count="1" selected="0">
            <x v="0"/>
          </reference>
          <reference field="13" count="1" selected="0">
            <x v="4"/>
          </reference>
        </references>
      </pivotArea>
    </chartFormat>
    <chartFormat chart="3" format="5">
      <pivotArea type="data" outline="0" fieldPosition="0">
        <references count="2">
          <reference field="4294967294" count="1" selected="0">
            <x v="0"/>
          </reference>
          <reference field="13" count="1" selected="0">
            <x v="0"/>
          </reference>
        </references>
      </pivotArea>
    </chartFormat>
    <chartFormat chart="3" format="6">
      <pivotArea type="data" outline="0" fieldPosition="0">
        <references count="2">
          <reference field="4294967294" count="1" selected="0">
            <x v="0"/>
          </reference>
          <reference field="1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000-00000D000000}" name="PivotTable8"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location ref="J13:L15" firstHeaderRow="0" firstDataRow="1" firstDataCol="1"/>
  <pivotFields count="17">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numFmtId="164" showAll="0"/>
    <pivotField dataField="1" numFmtId="164" showAll="0"/>
    <pivotField numFmtId="164" showAll="0"/>
    <pivotField dataField="1" numFmtId="164" showAll="0"/>
    <pivotField numFmtId="164" showAll="0" defaultSubtotal="0"/>
    <pivotField showAll="0"/>
    <pivotField showAll="0">
      <items count="7">
        <item h="1" x="3"/>
        <item h="1" x="5"/>
        <item h="1" x="4"/>
        <item x="2"/>
        <item h="1" x="1"/>
        <item h="1" x="0"/>
        <item t="default"/>
      </items>
    </pivotField>
    <pivotField axis="axisRow" showAll="0" sortType="descending">
      <items count="7">
        <item x="2"/>
        <item x="1"/>
        <item x="0"/>
        <item x="5"/>
        <item x="4"/>
        <item x="3"/>
        <item t="default"/>
      </items>
      <autoSortScope>
        <pivotArea dataOnly="0" outline="0" fieldPosition="0">
          <references count="1">
            <reference field="4294967294" count="1" selected="0">
              <x v="1"/>
            </reference>
          </references>
        </pivotArea>
      </autoSortScope>
    </pivotField>
    <pivotField showAll="0"/>
  </pivotFields>
  <rowFields count="1">
    <field x="15"/>
  </rowFields>
  <rowItems count="2">
    <i>
      <x/>
    </i>
    <i t="grand">
      <x/>
    </i>
  </rowItems>
  <colFields count="1">
    <field x="-2"/>
  </colFields>
  <colItems count="2">
    <i>
      <x/>
    </i>
    <i i="1">
      <x v="1"/>
    </i>
  </colItems>
  <dataFields count="2">
    <dataField name="Sum of Sales" fld="9" baseField="1" baseItem="3" numFmtId="164"/>
    <dataField name="Sum of Profit" fld="11" baseField="14"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PivotTable11"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location ref="P4:Q11" firstHeaderRow="1" firstDataRow="1" firstDataCol="1"/>
  <pivotFields count="17">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axis="axisRow" showAll="0" sortType="descending">
      <items count="7">
        <item x="4"/>
        <item x="0"/>
        <item x="5"/>
        <item x="1"/>
        <item x="3"/>
        <item x="2"/>
        <item t="default"/>
      </items>
      <autoSortScope>
        <pivotArea dataOnly="0" outline="0" fieldPosition="0">
          <references count="1">
            <reference field="4294967294" count="1" selected="0">
              <x v="0"/>
            </reference>
          </references>
        </pivotArea>
      </autoSortScope>
    </pivotField>
    <pivotField showAll="0"/>
    <pivotField showAll="0"/>
    <pivotField numFmtId="164" showAll="0"/>
    <pivotField dataField="1" numFmtId="164" showAll="0"/>
    <pivotField numFmtId="164" showAll="0"/>
    <pivotField numFmtId="164" showAll="0"/>
    <pivotField numFmtId="164" showAll="0" defaultSubtotal="0"/>
    <pivotField showAll="0"/>
    <pivotField showAll="0">
      <items count="7">
        <item h="1" x="3"/>
        <item h="1" x="5"/>
        <item h="1" x="4"/>
        <item x="2"/>
        <item h="1" x="1"/>
        <item h="1" x="0"/>
        <item t="default"/>
      </items>
    </pivotField>
    <pivotField showAll="0"/>
    <pivotField showAll="0" sortType="descending">
      <autoSortScope>
        <pivotArea dataOnly="0" outline="0" fieldPosition="0">
          <references count="1">
            <reference field="4294967294" count="1" selected="0">
              <x v="0"/>
            </reference>
          </references>
        </pivotArea>
      </autoSortScope>
    </pivotField>
  </pivotFields>
  <rowFields count="1">
    <field x="5"/>
  </rowFields>
  <rowItems count="7">
    <i>
      <x v="1"/>
    </i>
    <i>
      <x v="2"/>
    </i>
    <i>
      <x v="3"/>
    </i>
    <i>
      <x v="4"/>
    </i>
    <i>
      <x v="5"/>
    </i>
    <i>
      <x/>
    </i>
    <i t="grand">
      <x/>
    </i>
  </rowItems>
  <colItems count="1">
    <i/>
  </colItems>
  <dataFields count="1">
    <dataField name="Sum of Sales" fld="9" baseField="1" baseItem="3"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000-00000C000000}" name="PivotTable7"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15">
  <location ref="J3:K7" firstHeaderRow="1" firstDataRow="1" firstDataCol="1"/>
  <pivotFields count="17">
    <pivotField showAll="0"/>
    <pivotField axis="axisRow" showAll="0" sortType="descending">
      <items count="15">
        <item x="0"/>
        <item x="1"/>
        <item x="2"/>
        <item x="3"/>
        <item x="4"/>
        <item x="5"/>
        <item x="6"/>
        <item x="7"/>
        <item x="8"/>
        <item x="9"/>
        <item x="10"/>
        <item x="11"/>
        <item x="12"/>
        <item x="1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numFmtId="164" showAll="0"/>
    <pivotField dataField="1" numFmtId="164" showAll="0"/>
    <pivotField numFmtId="164" showAll="0"/>
    <pivotField numFmtId="164" showAll="0"/>
    <pivotField numFmtId="164" showAll="0" defaultSubtotal="0"/>
    <pivotField showAll="0"/>
    <pivotField showAll="0">
      <items count="7">
        <item h="1" x="3"/>
        <item h="1" x="5"/>
        <item h="1" x="4"/>
        <item x="2"/>
        <item h="1" x="1"/>
        <item h="1" x="0"/>
        <item t="default"/>
      </items>
    </pivotField>
    <pivotField showAll="0"/>
    <pivotField showAll="0"/>
  </pivotFields>
  <rowFields count="1">
    <field x="1"/>
  </rowFields>
  <rowItems count="4">
    <i>
      <x v="3"/>
    </i>
    <i>
      <x v="1"/>
    </i>
    <i>
      <x v="4"/>
    </i>
    <i t="grand">
      <x/>
    </i>
  </rowItems>
  <colItems count="1">
    <i/>
  </colItems>
  <dataFields count="1">
    <dataField name="Sum of Sales" fld="9" baseField="1" baseItem="3" numFmtId="164"/>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0000-00000A000000}" name="PivotTable5"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location ref="G3:H5" firstHeaderRow="1" firstDataRow="1" firstDataCol="1"/>
  <pivotFields count="17">
    <pivotField showAll="0"/>
    <pivotField showAll="0"/>
    <pivotField showAll="0"/>
    <pivotField showAll="0"/>
    <pivotField showAll="0"/>
    <pivotField showAll="0"/>
    <pivotField showAll="0"/>
    <pivotField showAll="0"/>
    <pivotField numFmtId="164" showAll="0"/>
    <pivotField dataField="1" numFmtId="164" showAll="0"/>
    <pivotField numFmtId="164" showAll="0"/>
    <pivotField numFmtId="164" showAll="0"/>
    <pivotField numFmtId="164" showAll="0" defaultSubtotal="0"/>
    <pivotField showAll="0"/>
    <pivotField axis="axisRow" showAll="0" sortType="descending">
      <items count="7">
        <item h="1" x="3"/>
        <item h="1" x="5"/>
        <item h="1" x="4"/>
        <item x="2"/>
        <item h="1" x="1"/>
        <item h="1" x="0"/>
        <item t="default"/>
      </items>
      <autoSortScope>
        <pivotArea dataOnly="0" outline="0" fieldPosition="0">
          <references count="1">
            <reference field="4294967294" count="1" selected="0">
              <x v="0"/>
            </reference>
          </references>
        </pivotArea>
      </autoSortScope>
    </pivotField>
    <pivotField showAll="0"/>
    <pivotField showAll="0"/>
  </pivotFields>
  <rowFields count="1">
    <field x="14"/>
  </rowFields>
  <rowItems count="2">
    <i>
      <x v="3"/>
    </i>
    <i t="grand">
      <x/>
    </i>
  </rowItems>
  <colItems count="1">
    <i/>
  </colItems>
  <dataFields count="1">
    <dataField name="Sum of Sales" fld="9" baseField="13"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PivotTable1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location ref="N22:N23" firstHeaderRow="1" firstDataRow="1" firstDataCol="0"/>
  <pivotFields count="17">
    <pivotField dataField="1" showAll="0"/>
    <pivotField showAll="0"/>
    <pivotField showAll="0"/>
    <pivotField showAll="0"/>
    <pivotField showAll="0"/>
    <pivotField showAll="0"/>
    <pivotField showAll="0"/>
    <pivotField showAll="0"/>
    <pivotField numFmtId="164" showAll="0"/>
    <pivotField numFmtId="164" showAll="0"/>
    <pivotField numFmtId="164" showAll="0"/>
    <pivotField numFmtId="164" showAll="0"/>
    <pivotField numFmtId="164" showAll="0" defaultSubtotal="0"/>
    <pivotField showAll="0"/>
    <pivotField showAll="0">
      <items count="7">
        <item h="1" x="3"/>
        <item h="1" x="5"/>
        <item h="1" x="4"/>
        <item x="2"/>
        <item h="1" x="1"/>
        <item h="1" x="0"/>
        <item t="default"/>
      </items>
    </pivotField>
    <pivotField showAll="0"/>
    <pivotField showAll="0"/>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00000000-0013-0000-FFFF-FFFF01000000}" sourceName="State">
  <pivotTables>
    <pivotTable tabId="3" name="PivotTable13"/>
    <pivotTable tabId="3" name="PivotTable1"/>
    <pivotTable tabId="3" name="PivotTable10"/>
    <pivotTable tabId="3" name="PivotTable11"/>
    <pivotTable tabId="3" name="PivotTable12"/>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 tabId="3" name="PivotTable14"/>
    <pivotTable tabId="3" name="PivotTable15"/>
  </pivotTables>
  <data>
    <tabular pivotCacheId="1">
      <items count="6">
        <i x="3"/>
        <i x="5"/>
        <i x="4"/>
        <i x="2" s="1"/>
        <i x="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rmer_type" xr10:uid="{00000000-0013-0000-FFFF-FFFF02000000}" sourceName="Custormer type">
  <pivotTables>
    <pivotTable tabId="3" name="PivotTable13"/>
    <pivotTable tabId="3" name="PivotTable14"/>
  </pivotTables>
  <data>
    <tabular pivotCacheId="1">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00000000-0013-0000-FFFF-FFFF03000000}" sourceName="Payment Method">
  <pivotTables>
    <pivotTable tabId="3" name="PivotTable13"/>
    <pivotTable tabId="3" name="PivotTable14"/>
  </pivotTables>
  <data>
    <tabular pivotCacheId="1">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 xr10:uid="{00000000-0013-0000-FFFF-FFFF04000000}" sourceName="Sales Rep">
  <pivotTables>
    <pivotTable tabId="3" name="PivotTable13"/>
    <pivotTable tabId="3" name="PivotTable14"/>
  </pivotTables>
  <data>
    <tabular pivotCacheId="1">
      <items count="6">
        <i x="2" s="1"/>
        <i x="1" s="1" nd="1"/>
        <i x="0" s="1" nd="1"/>
        <i x="5" s="1" nd="1"/>
        <i x="4" s="1" nd="1"/>
        <i x="3"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00000000-0013-0000-FFFF-FFFF05000000}" sourceName="ORDER DATE">
  <pivotTables>
    <pivotTable tabId="3" name="PivotTable13"/>
    <pivotTable tabId="3" name="PivotTable14"/>
  </pivotTables>
  <data>
    <tabular pivotCacheId="1">
      <items count="14">
        <i x="1" s="1"/>
        <i x="3" s="1"/>
        <i x="4" s="1"/>
        <i x="2" s="1" nd="1"/>
        <i x="5" s="1" nd="1"/>
        <i x="6" s="1" nd="1"/>
        <i x="7" s="1" nd="1"/>
        <i x="8" s="1" nd="1"/>
        <i x="9" s="1" nd="1"/>
        <i x="10" s="1" nd="1"/>
        <i x="11" s="1" nd="1"/>
        <i x="12" s="1" nd="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00000000-0014-0000-FFFF-FFFF01000000}" cache="Slicer_State" caption="State" columnCount="2" rowHeight="241300"/>
  <slicer name="Custormer type" xr10:uid="{00000000-0014-0000-FFFF-FFFF02000000}" cache="Slicer_Custormer_type" caption="Custormer type" rowHeight="241300"/>
  <slicer name="Sales Rep" xr10:uid="{00000000-0014-0000-FFFF-FFFF03000000}" cache="Slicer_Sales_Rep" caption="Sales Rep" rowHeight="241300"/>
  <slicer name="ORDER DATE" xr10:uid="{00000000-0014-0000-FFFF-FFFF04000000}" cache="Slicer_ORDER_DATE" caption="ORDER DAT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00000000-0014-0000-FFFF-FFFF06000000}" cache="Slicer_State" caption="State" columnCount="2" style="SlicerStyleOther2" rowHeight="241300"/>
  <slicer name="Custormer type 1" xr10:uid="{00000000-0014-0000-FFFF-FFFF07000000}" cache="Slicer_Custormer_type" caption="Custormer type" style="SlicerStyleOther2" rowHeight="241300"/>
  <slicer name="Payment Method 1" xr10:uid="{00000000-0014-0000-FFFF-FFFF08000000}" cache="Slicer_Payment_Method" caption="Payment Method" startItem="2" style="SlicerStyleOther2" rowHeight="241300"/>
  <slicer name="Sales Rep 1" xr10:uid="{00000000-0014-0000-FFFF-FFFF09000000}" cache="Slicer_Sales_Rep" caption="Sales Rep" style="SlicerStyleOther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Q101" totalsRowShown="0" headerRowDxfId="10">
  <autoFilter ref="A1:Q101" xr:uid="{00000000-0009-0000-0100-000001000000}"/>
  <tableColumns count="17">
    <tableColumn id="1" xr3:uid="{00000000-0010-0000-0000-000001000000}" name="Order ID"/>
    <tableColumn id="18" xr3:uid="{00000000-0010-0000-0000-000012000000}" name="ORDER DATE" dataDxfId="9"/>
    <tableColumn id="3" xr3:uid="{00000000-0010-0000-0000-000003000000}" name="Customer Name"/>
    <tableColumn id="4" xr3:uid="{00000000-0010-0000-0000-000004000000}" name="Custormer type"/>
    <tableColumn id="5" xr3:uid="{00000000-0010-0000-0000-000005000000}" name="Product Name"/>
    <tableColumn id="6" xr3:uid="{00000000-0010-0000-0000-000006000000}" name="Brand " dataDxfId="8">
      <calculatedColumnFormula>IF(E2="7Up 50cl","7up",IF(E2="Coca-Cola 50cl","Coca-Cola",IF(E2="Fanta Orange","Coca-Cola",IF(E2="Fearless Energy","Fearless",IF(E2="Maltina Can","Maltina",IF(E2="Monster Energy","Monster",IF(E2="Pepsi 50cl","Pepsi",IF(E2="Sprite 50cl","Coca-Cola"))))))))</calculatedColumnFormula>
    </tableColumn>
    <tableColumn id="7" xr3:uid="{00000000-0010-0000-0000-000007000000}" name="Category" dataDxfId="7">
      <calculatedColumnFormula>IF(F2="7up","Soft Drink",IF(F2="Coca-Cola","Soft Drink",IF(F2="Fearless","Energy Drink",IF(F2="Maltina","Malt Drink",IF(F2="Monster","Energy Drink",IF(F2="Pepsi","Soft Drink"))))))</calculatedColumnFormula>
    </tableColumn>
    <tableColumn id="8" xr3:uid="{00000000-0010-0000-0000-000008000000}" name="Quality"/>
    <tableColumn id="9" xr3:uid="{00000000-0010-0000-0000-000009000000}" name="Unit Price" dataDxfId="6">
      <calculatedColumnFormula>IF(E2="Sprite 50cl",470,IF(E2="Coca-Cola 50cl",500,IF(E2="Fanta Orange",450,IF(E2="Fearless Energy",700,IF(E2="Maltina Can",650,IF(E2="Monster Energy",900,IF(E2="Pepsi 50cl",480,IF(E2="Sprite 50cl",470,IF(E2="7up 50cl",460)))))))))</calculatedColumnFormula>
    </tableColumn>
    <tableColumn id="10" xr3:uid="{00000000-0010-0000-0000-00000A000000}" name="Sales" dataDxfId="5">
      <calculatedColumnFormula>Table1[[#This Row],[Quality]]*Table1[[#This Row],[Unit Price]]</calculatedColumnFormula>
    </tableColumn>
    <tableColumn id="11" xr3:uid="{00000000-0010-0000-0000-00000B000000}" name="Cost Prices" dataDxfId="4">
      <calculatedColumnFormula>IF(I2=470,350,IF(I2=480,360,IF(I2=900,720,IF(I2=650,500,IF(I2=700,540,IF(I2=450,340,IF(I2=500,380,IF(I2=460,345))))))))</calculatedColumnFormula>
    </tableColumn>
    <tableColumn id="12" xr3:uid="{00000000-0010-0000-0000-00000C000000}" name="Profit" dataDxfId="3"/>
    <tableColumn id="19" xr3:uid="{00000000-0010-0000-0000-000013000000}" name="Total Expenses" dataDxfId="2">
      <calculatedColumnFormula>Table1[[#This Row],[Sales]]-Table1[[#This Row],[Profit]]</calculatedColumnFormula>
    </tableColumn>
    <tableColumn id="13" xr3:uid="{00000000-0010-0000-0000-00000D000000}" name="Region"/>
    <tableColumn id="14" xr3:uid="{00000000-0010-0000-0000-00000E000000}" name="State" dataDxfId="1">
      <calculatedColumnFormula>IF(N2="South South","Port Harcourt",IF(N2="South East","Anambra",IF(N2="North Central","Abuja",IF(N2="North West","Kano",IF(N2="North East","Gombe",IF(N2="South West","Lagos"))))))</calculatedColumnFormula>
    </tableColumn>
    <tableColumn id="15" xr3:uid="{00000000-0010-0000-0000-00000F000000}" name="Sales Rep" dataDxfId="0">
      <calculatedColumnFormula>IF(O2="Abuja","Micheal John",IF(O2="Anambra","Emmanuel Jonathan",IF(O2="Gombe","Isah Musa",IF(O2="Kano","Abdullahi Yahaya",IF(O2="Lagos","Ayo Kunle",IF(O2="Port Harcourt","Bella Godwin"))))))</calculatedColumnFormula>
    </tableColumn>
    <tableColumn id="16" xr3:uid="{00000000-0010-0000-0000-000010000000}" name="Payment Method"/>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0000000-0013-0000-FFFF-FFFF06000000}" sourceName="ORDER DATE">
  <pivotTables>
    <pivotTable tabId="3" name="PivotTable13"/>
    <pivotTable tabId="3" name="PivotTable14"/>
  </pivotTables>
  <state minimalRefreshVersion="6" lastRefreshVersion="6" pivotCacheId="1" filterType="unknown">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00000000-0014-0000-FFFF-FFFF05000000}" cache="NativeTimeline_ORDER_DATE" caption="ORDER DATE" level="2" selectionLevel="2" scrollPosition="2026-06-07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2" xr10:uid="{00000000-0014-0000-FFFF-FFFF0A000000}" cache="NativeTimeline_ORDER_DATE" caption="ORDER DATE" showHeader="0" showSelectionLabel="0" showTimeLevel="0" level="2" selectionLevel="2" scrollPosition="2026-01-01T00:00:00" style="TimeSlicerStyleLight5"/>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1.xml"/><Relationship Id="rId2" Type="http://schemas.openxmlformats.org/officeDocument/2006/relationships/pivotTable" Target="../pivotTables/pivotTable2.xml"/><Relationship Id="rId16" Type="http://schemas.openxmlformats.org/officeDocument/2006/relationships/printerSettings" Target="../printerSettings/printerSettings1.bin"/><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microsoft.com/office/2011/relationships/timeline" Target="../timelines/timeline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11/relationships/timeline" Target="../timelines/timelin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Q66"/>
  <sheetViews>
    <sheetView workbookViewId="0">
      <selection activeCell="F10" sqref="F10"/>
    </sheetView>
  </sheetViews>
  <sheetFormatPr defaultRowHeight="15" x14ac:dyDescent="0.25"/>
  <cols>
    <col min="1" max="1" width="13.140625" bestFit="1" customWidth="1"/>
    <col min="2" max="2" width="12.5703125" bestFit="1" customWidth="1"/>
    <col min="3" max="3" width="12.5703125" customWidth="1"/>
    <col min="4" max="4" width="13.140625" bestFit="1" customWidth="1"/>
    <col min="5" max="5" width="12.140625" bestFit="1" customWidth="1"/>
    <col min="6" max="6" width="15" bestFit="1" customWidth="1"/>
    <col min="7" max="7" width="21" bestFit="1" customWidth="1"/>
    <col min="8" max="8" width="12.140625" bestFit="1" customWidth="1"/>
    <col min="10" max="10" width="16.28515625" bestFit="1" customWidth="1"/>
    <col min="11" max="11" width="12.140625" bestFit="1" customWidth="1"/>
    <col min="12" max="12" width="12.5703125" bestFit="1" customWidth="1"/>
    <col min="13" max="13" width="13.140625" bestFit="1" customWidth="1"/>
    <col min="14" max="15" width="12.140625" bestFit="1" customWidth="1"/>
    <col min="16" max="16" width="13.140625" bestFit="1" customWidth="1"/>
    <col min="17" max="18" width="12.140625" bestFit="1" customWidth="1"/>
  </cols>
  <sheetData>
    <row r="2" spans="1:17" x14ac:dyDescent="0.25">
      <c r="A2" s="7" t="s">
        <v>84</v>
      </c>
      <c r="B2" s="6"/>
      <c r="D2" s="7" t="s">
        <v>110</v>
      </c>
      <c r="E2" s="6"/>
      <c r="G2" s="7" t="s">
        <v>94</v>
      </c>
      <c r="H2" s="7"/>
      <c r="J2" s="7" t="s">
        <v>96</v>
      </c>
      <c r="K2" s="6"/>
      <c r="M2" s="7" t="s">
        <v>101</v>
      </c>
      <c r="N2" s="6"/>
    </row>
    <row r="3" spans="1:17" x14ac:dyDescent="0.25">
      <c r="A3" s="4" t="s">
        <v>81</v>
      </c>
      <c r="B3" t="s">
        <v>83</v>
      </c>
      <c r="D3" s="4" t="s">
        <v>81</v>
      </c>
      <c r="E3" t="s">
        <v>92</v>
      </c>
      <c r="G3" s="4" t="s">
        <v>81</v>
      </c>
      <c r="H3" t="s">
        <v>83</v>
      </c>
      <c r="J3" s="4" t="s">
        <v>81</v>
      </c>
      <c r="K3" t="s">
        <v>83</v>
      </c>
      <c r="M3" s="4" t="s">
        <v>81</v>
      </c>
      <c r="N3" t="s">
        <v>83</v>
      </c>
      <c r="P3" s="7" t="s">
        <v>103</v>
      </c>
      <c r="Q3" s="6"/>
    </row>
    <row r="4" spans="1:17" x14ac:dyDescent="0.25">
      <c r="A4" s="5" t="s">
        <v>46</v>
      </c>
      <c r="B4" s="3">
        <v>168700</v>
      </c>
      <c r="D4" s="5" t="s">
        <v>45</v>
      </c>
      <c r="E4" s="13">
        <v>284</v>
      </c>
      <c r="G4" s="5" t="s">
        <v>111</v>
      </c>
      <c r="H4" s="9">
        <v>815900</v>
      </c>
      <c r="J4" s="5" t="s">
        <v>109</v>
      </c>
      <c r="K4" s="3">
        <v>551440</v>
      </c>
      <c r="M4" s="5" t="s">
        <v>52</v>
      </c>
      <c r="N4" s="3">
        <v>353000</v>
      </c>
      <c r="P4" s="4" t="s">
        <v>81</v>
      </c>
      <c r="Q4" t="s">
        <v>83</v>
      </c>
    </row>
    <row r="5" spans="1:17" x14ac:dyDescent="0.25">
      <c r="A5" s="5" t="s">
        <v>40</v>
      </c>
      <c r="B5" s="3">
        <v>166400</v>
      </c>
      <c r="D5" s="5" t="s">
        <v>40</v>
      </c>
      <c r="E5" s="13">
        <v>256</v>
      </c>
      <c r="G5" s="5" t="s">
        <v>82</v>
      </c>
      <c r="H5" s="9">
        <v>815900</v>
      </c>
      <c r="J5" s="5" t="s">
        <v>98</v>
      </c>
      <c r="K5" s="3">
        <v>243780</v>
      </c>
      <c r="M5" s="5" t="s">
        <v>53</v>
      </c>
      <c r="N5" s="3">
        <v>262380</v>
      </c>
      <c r="P5" s="5" t="s">
        <v>86</v>
      </c>
      <c r="Q5" s="3">
        <v>276980</v>
      </c>
    </row>
    <row r="6" spans="1:17" x14ac:dyDescent="0.25">
      <c r="A6" s="5" t="s">
        <v>45</v>
      </c>
      <c r="B6" s="3">
        <v>142000</v>
      </c>
      <c r="D6" s="5" t="s">
        <v>42</v>
      </c>
      <c r="E6" s="13">
        <v>254</v>
      </c>
      <c r="J6" s="5" t="s">
        <v>99</v>
      </c>
      <c r="K6" s="3">
        <v>20680</v>
      </c>
      <c r="M6" s="5" t="s">
        <v>19</v>
      </c>
      <c r="N6" s="3">
        <v>200520</v>
      </c>
      <c r="P6" s="5" t="s">
        <v>87</v>
      </c>
      <c r="Q6" s="3">
        <v>168700</v>
      </c>
    </row>
    <row r="7" spans="1:17" x14ac:dyDescent="0.25">
      <c r="A7" s="5" t="s">
        <v>43</v>
      </c>
      <c r="B7" s="3">
        <v>118800</v>
      </c>
      <c r="D7" s="5" t="s">
        <v>46</v>
      </c>
      <c r="E7" s="13">
        <v>241</v>
      </c>
      <c r="J7" s="5" t="s">
        <v>82</v>
      </c>
      <c r="K7" s="3">
        <v>815900</v>
      </c>
      <c r="M7" s="5" t="s">
        <v>82</v>
      </c>
      <c r="N7" s="3">
        <v>815900</v>
      </c>
      <c r="P7" s="5" t="s">
        <v>108</v>
      </c>
      <c r="Q7" s="3">
        <v>166400</v>
      </c>
    </row>
    <row r="8" spans="1:17" x14ac:dyDescent="0.25">
      <c r="A8" s="5" t="s">
        <v>42</v>
      </c>
      <c r="B8" s="3">
        <v>114300</v>
      </c>
      <c r="D8" s="5" t="s">
        <v>41</v>
      </c>
      <c r="E8" s="13">
        <v>134</v>
      </c>
      <c r="P8" s="5" t="s">
        <v>88</v>
      </c>
      <c r="Q8" s="3">
        <v>118800</v>
      </c>
    </row>
    <row r="9" spans="1:17" x14ac:dyDescent="0.25">
      <c r="A9" s="5" t="s">
        <v>41</v>
      </c>
      <c r="B9" s="3">
        <v>64320</v>
      </c>
      <c r="D9" s="5" t="s">
        <v>43</v>
      </c>
      <c r="E9" s="13">
        <v>132</v>
      </c>
      <c r="P9" s="5" t="s">
        <v>89</v>
      </c>
      <c r="Q9" s="3">
        <v>64320</v>
      </c>
    </row>
    <row r="10" spans="1:17" x14ac:dyDescent="0.25">
      <c r="A10" s="5" t="s">
        <v>44</v>
      </c>
      <c r="B10" s="3">
        <v>20700</v>
      </c>
      <c r="D10" s="5" t="s">
        <v>44</v>
      </c>
      <c r="E10" s="13">
        <v>45</v>
      </c>
      <c r="P10" s="5" t="s">
        <v>85</v>
      </c>
      <c r="Q10" s="3">
        <v>20700</v>
      </c>
    </row>
    <row r="11" spans="1:17" x14ac:dyDescent="0.25">
      <c r="A11" s="5" t="s">
        <v>17</v>
      </c>
      <c r="B11" s="3">
        <v>20680</v>
      </c>
      <c r="D11" s="5" t="s">
        <v>17</v>
      </c>
      <c r="E11" s="13">
        <v>44</v>
      </c>
      <c r="P11" s="5" t="s">
        <v>82</v>
      </c>
      <c r="Q11" s="3">
        <v>815900</v>
      </c>
    </row>
    <row r="12" spans="1:17" x14ac:dyDescent="0.25">
      <c r="A12" s="5" t="s">
        <v>82</v>
      </c>
      <c r="B12" s="3">
        <v>815900</v>
      </c>
      <c r="D12" s="5" t="s">
        <v>82</v>
      </c>
      <c r="E12" s="13">
        <v>1390</v>
      </c>
      <c r="J12" s="7" t="s">
        <v>100</v>
      </c>
      <c r="K12" s="6"/>
      <c r="L12" s="6"/>
      <c r="N12" s="7" t="s">
        <v>102</v>
      </c>
      <c r="O12" s="6"/>
    </row>
    <row r="13" spans="1:17" x14ac:dyDescent="0.25">
      <c r="J13" s="4" t="s">
        <v>81</v>
      </c>
      <c r="K13" t="s">
        <v>83</v>
      </c>
      <c r="L13" t="s">
        <v>90</v>
      </c>
      <c r="N13" s="4" t="s">
        <v>81</v>
      </c>
      <c r="O13" t="s">
        <v>83</v>
      </c>
    </row>
    <row r="14" spans="1:17" x14ac:dyDescent="0.25">
      <c r="A14" s="3">
        <f>GETPIVOTDATA("Sales",$A$3)</f>
        <v>815900</v>
      </c>
      <c r="J14" s="5" t="s">
        <v>112</v>
      </c>
      <c r="K14" s="3">
        <v>815900</v>
      </c>
      <c r="L14" s="3">
        <v>247600</v>
      </c>
      <c r="N14" s="5" t="s">
        <v>16</v>
      </c>
      <c r="O14" s="3">
        <v>394940</v>
      </c>
    </row>
    <row r="15" spans="1:17" x14ac:dyDescent="0.25">
      <c r="D15" s="8" t="s">
        <v>93</v>
      </c>
      <c r="E15" s="6"/>
      <c r="G15" s="7" t="s">
        <v>95</v>
      </c>
      <c r="H15" s="7"/>
      <c r="J15" s="5" t="s">
        <v>82</v>
      </c>
      <c r="K15" s="3">
        <v>815900</v>
      </c>
      <c r="L15" s="3">
        <v>247600</v>
      </c>
      <c r="N15" s="5" t="s">
        <v>38</v>
      </c>
      <c r="O15" s="3">
        <v>224460</v>
      </c>
    </row>
    <row r="16" spans="1:17" x14ac:dyDescent="0.25">
      <c r="D16" s="4" t="s">
        <v>81</v>
      </c>
      <c r="E16" t="s">
        <v>83</v>
      </c>
      <c r="G16" s="4" t="s">
        <v>81</v>
      </c>
      <c r="H16" t="s">
        <v>83</v>
      </c>
      <c r="N16" s="5" t="s">
        <v>39</v>
      </c>
      <c r="O16" s="3">
        <v>147000</v>
      </c>
    </row>
    <row r="17" spans="1:15" x14ac:dyDescent="0.25">
      <c r="D17" s="5" t="s">
        <v>48</v>
      </c>
      <c r="E17" s="9">
        <v>815900</v>
      </c>
      <c r="G17" s="5" t="s">
        <v>32</v>
      </c>
      <c r="H17" s="9">
        <v>205300</v>
      </c>
      <c r="N17" s="5" t="s">
        <v>37</v>
      </c>
      <c r="O17" s="3">
        <v>49500</v>
      </c>
    </row>
    <row r="18" spans="1:15" x14ac:dyDescent="0.25">
      <c r="A18" s="7" t="s">
        <v>91</v>
      </c>
      <c r="B18" s="6"/>
      <c r="D18" s="5" t="s">
        <v>82</v>
      </c>
      <c r="E18" s="9">
        <v>815900</v>
      </c>
      <c r="G18" s="5" t="s">
        <v>26</v>
      </c>
      <c r="H18" s="9">
        <v>187400</v>
      </c>
      <c r="N18" s="5" t="s">
        <v>82</v>
      </c>
      <c r="O18" s="3">
        <v>815900</v>
      </c>
    </row>
    <row r="19" spans="1:15" x14ac:dyDescent="0.25">
      <c r="A19" s="4" t="s">
        <v>81</v>
      </c>
      <c r="B19" t="s">
        <v>90</v>
      </c>
      <c r="G19" s="5" t="s">
        <v>34</v>
      </c>
      <c r="H19" s="9">
        <v>142140</v>
      </c>
    </row>
    <row r="20" spans="1:15" x14ac:dyDescent="0.25">
      <c r="A20" s="5" t="s">
        <v>86</v>
      </c>
      <c r="B20" s="3">
        <v>88000</v>
      </c>
      <c r="G20" s="5" t="s">
        <v>31</v>
      </c>
      <c r="H20" s="9">
        <v>91000</v>
      </c>
    </row>
    <row r="21" spans="1:15" x14ac:dyDescent="0.25">
      <c r="A21" s="5" t="s">
        <v>108</v>
      </c>
      <c r="B21" s="3">
        <v>54500</v>
      </c>
      <c r="G21" s="5" t="s">
        <v>27</v>
      </c>
      <c r="H21" s="9">
        <v>70600</v>
      </c>
      <c r="N21" s="8" t="s">
        <v>105</v>
      </c>
      <c r="O21" s="7"/>
    </row>
    <row r="22" spans="1:15" x14ac:dyDescent="0.25">
      <c r="A22" s="5" t="s">
        <v>87</v>
      </c>
      <c r="B22" s="3">
        <v>47600</v>
      </c>
      <c r="G22" s="5" t="s">
        <v>36</v>
      </c>
      <c r="H22" s="9">
        <v>70180</v>
      </c>
      <c r="N22" t="s">
        <v>104</v>
      </c>
    </row>
    <row r="23" spans="1:15" x14ac:dyDescent="0.25">
      <c r="A23" s="5" t="s">
        <v>88</v>
      </c>
      <c r="B23" s="3">
        <v>33000</v>
      </c>
      <c r="G23" s="5" t="s">
        <v>28</v>
      </c>
      <c r="H23" s="9">
        <v>49280</v>
      </c>
      <c r="N23" s="13">
        <v>22</v>
      </c>
    </row>
    <row r="24" spans="1:15" x14ac:dyDescent="0.25">
      <c r="A24" s="5" t="s">
        <v>89</v>
      </c>
      <c r="B24" s="3">
        <v>20000</v>
      </c>
      <c r="G24" s="5" t="s">
        <v>82</v>
      </c>
      <c r="H24" s="9">
        <v>815900</v>
      </c>
      <c r="J24" t="s">
        <v>92</v>
      </c>
      <c r="N24">
        <f>GETPIVOTDATA("Order ID",$N$22)</f>
        <v>22</v>
      </c>
    </row>
    <row r="25" spans="1:15" x14ac:dyDescent="0.25">
      <c r="A25" s="5" t="s">
        <v>85</v>
      </c>
      <c r="B25" s="3">
        <v>4500</v>
      </c>
      <c r="J25" s="13">
        <v>1390</v>
      </c>
    </row>
    <row r="26" spans="1:15" x14ac:dyDescent="0.25">
      <c r="A26" s="5" t="s">
        <v>82</v>
      </c>
      <c r="B26" s="3">
        <v>247600</v>
      </c>
      <c r="J26">
        <f>GETPIVOTDATA("Quality",$J$24)</f>
        <v>1390</v>
      </c>
    </row>
    <row r="28" spans="1:15" x14ac:dyDescent="0.25">
      <c r="A28" s="3">
        <f>GETPIVOTDATA("Profit",$A$19)</f>
        <v>247600</v>
      </c>
    </row>
    <row r="31" spans="1:15" x14ac:dyDescent="0.25">
      <c r="D31" t="str">
        <f>D4:E4</f>
        <v>Coca-Cola 50cl</v>
      </c>
    </row>
    <row r="32" spans="1:15" x14ac:dyDescent="0.25">
      <c r="D32">
        <f>GETPIVOTDATA("Quality",$D$3,"Product Name","Fanta Orange")</f>
        <v>254</v>
      </c>
      <c r="F32" s="4" t="s">
        <v>81</v>
      </c>
      <c r="G32" t="s">
        <v>107</v>
      </c>
    </row>
    <row r="33" spans="6:7" x14ac:dyDescent="0.25">
      <c r="F33" s="5" t="s">
        <v>46</v>
      </c>
      <c r="G33" s="3">
        <v>121100</v>
      </c>
    </row>
    <row r="34" spans="6:7" x14ac:dyDescent="0.25">
      <c r="F34" s="5" t="s">
        <v>40</v>
      </c>
      <c r="G34" s="3">
        <v>111900</v>
      </c>
    </row>
    <row r="35" spans="6:7" x14ac:dyDescent="0.25">
      <c r="F35" s="5" t="s">
        <v>45</v>
      </c>
      <c r="G35" s="3">
        <v>101500</v>
      </c>
    </row>
    <row r="36" spans="6:7" x14ac:dyDescent="0.25">
      <c r="F36" s="5" t="s">
        <v>43</v>
      </c>
      <c r="G36" s="3">
        <v>85800</v>
      </c>
    </row>
    <row r="37" spans="6:7" x14ac:dyDescent="0.25">
      <c r="F37" s="5" t="s">
        <v>42</v>
      </c>
      <c r="G37" s="3">
        <v>73800</v>
      </c>
    </row>
    <row r="38" spans="6:7" x14ac:dyDescent="0.25">
      <c r="F38" s="5" t="s">
        <v>41</v>
      </c>
      <c r="G38" s="3">
        <v>44320</v>
      </c>
    </row>
    <row r="39" spans="6:7" x14ac:dyDescent="0.25">
      <c r="F39" s="5" t="s">
        <v>44</v>
      </c>
      <c r="G39" s="3">
        <v>16200</v>
      </c>
    </row>
    <row r="40" spans="6:7" x14ac:dyDescent="0.25">
      <c r="F40" s="5" t="s">
        <v>17</v>
      </c>
      <c r="G40" s="3">
        <v>13680</v>
      </c>
    </row>
    <row r="41" spans="6:7" x14ac:dyDescent="0.25">
      <c r="F41" s="5" t="s">
        <v>82</v>
      </c>
      <c r="G41" s="3">
        <v>568300</v>
      </c>
    </row>
    <row r="43" spans="6:7" x14ac:dyDescent="0.25">
      <c r="G43" s="3">
        <f>GETPIVOTDATA("Total Expenses",$F$32)</f>
        <v>568300</v>
      </c>
    </row>
    <row r="49" spans="3:5" x14ac:dyDescent="0.25">
      <c r="C49" s="14"/>
      <c r="D49" s="15"/>
      <c r="E49" s="16"/>
    </row>
    <row r="50" spans="3:5" x14ac:dyDescent="0.25">
      <c r="C50" s="17"/>
      <c r="D50" s="12"/>
      <c r="E50" s="18"/>
    </row>
    <row r="51" spans="3:5" x14ac:dyDescent="0.25">
      <c r="C51" s="17"/>
      <c r="D51" s="12"/>
      <c r="E51" s="18"/>
    </row>
    <row r="52" spans="3:5" x14ac:dyDescent="0.25">
      <c r="C52" s="17"/>
      <c r="D52" s="12"/>
      <c r="E52" s="18"/>
    </row>
    <row r="53" spans="3:5" x14ac:dyDescent="0.25">
      <c r="C53" s="17"/>
      <c r="D53" s="12"/>
      <c r="E53" s="18"/>
    </row>
    <row r="54" spans="3:5" x14ac:dyDescent="0.25">
      <c r="C54" s="17"/>
      <c r="D54" s="12"/>
      <c r="E54" s="18"/>
    </row>
    <row r="55" spans="3:5" x14ac:dyDescent="0.25">
      <c r="C55" s="17"/>
      <c r="D55" s="12"/>
      <c r="E55" s="18"/>
    </row>
    <row r="56" spans="3:5" x14ac:dyDescent="0.25">
      <c r="C56" s="17"/>
      <c r="D56" s="12"/>
      <c r="E56" s="18"/>
    </row>
    <row r="57" spans="3:5" x14ac:dyDescent="0.25">
      <c r="C57" s="17"/>
      <c r="D57" s="12"/>
      <c r="E57" s="18"/>
    </row>
    <row r="58" spans="3:5" x14ac:dyDescent="0.25">
      <c r="C58" s="17"/>
      <c r="D58" s="12"/>
      <c r="E58" s="18"/>
    </row>
    <row r="59" spans="3:5" x14ac:dyDescent="0.25">
      <c r="C59" s="17"/>
      <c r="D59" s="12"/>
      <c r="E59" s="18"/>
    </row>
    <row r="60" spans="3:5" x14ac:dyDescent="0.25">
      <c r="C60" s="17"/>
      <c r="D60" s="12"/>
      <c r="E60" s="18"/>
    </row>
    <row r="61" spans="3:5" x14ac:dyDescent="0.25">
      <c r="C61" s="17"/>
      <c r="D61" s="12"/>
      <c r="E61" s="18"/>
    </row>
    <row r="62" spans="3:5" x14ac:dyDescent="0.25">
      <c r="C62" s="17"/>
      <c r="D62" s="12"/>
      <c r="E62" s="18"/>
    </row>
    <row r="63" spans="3:5" x14ac:dyDescent="0.25">
      <c r="C63" s="17"/>
      <c r="D63" s="12"/>
      <c r="E63" s="18"/>
    </row>
    <row r="64" spans="3:5" x14ac:dyDescent="0.25">
      <c r="C64" s="17"/>
      <c r="D64" s="12"/>
      <c r="E64" s="18"/>
    </row>
    <row r="65" spans="3:5" x14ac:dyDescent="0.25">
      <c r="C65" s="17"/>
      <c r="D65" s="12"/>
      <c r="E65" s="18"/>
    </row>
    <row r="66" spans="3:5" x14ac:dyDescent="0.25">
      <c r="C66" s="19"/>
      <c r="D66" s="20"/>
      <c r="E66" s="21"/>
    </row>
  </sheetData>
  <pageMargins left="0.7" right="0.7" top="0.75" bottom="0.75" header="0.3" footer="0.3"/>
  <pageSetup orientation="portrait" verticalDpi="0" r:id="rId16"/>
  <drawing r:id="rId17"/>
  <extLst>
    <ext xmlns:x14="http://schemas.microsoft.com/office/spreadsheetml/2009/9/main" uri="{A8765BA9-456A-4dab-B4F3-ACF838C121DE}">
      <x14:slicerList>
        <x14:slicer r:id="rId18"/>
      </x14:slicerList>
    </ext>
    <ext xmlns:x15="http://schemas.microsoft.com/office/spreadsheetml/2010/11/main" uri="{7E03D99C-DC04-49d9-9315-930204A7B6E9}">
      <x15:timelineRefs>
        <x15:timelineRef r:id="rId19"/>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tabSelected="1" zoomScaleNormal="100" workbookViewId="0">
      <selection activeCell="F21" sqref="F21"/>
    </sheetView>
  </sheetViews>
  <sheetFormatPr defaultRowHeight="15" x14ac:dyDescent="0.25"/>
  <sheetData/>
  <pageMargins left="0.7" right="0.7" top="0.75" bottom="0.75" header="0.3" footer="0.3"/>
  <pageSetup orientation="portrait" verticalDpi="0"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101"/>
  <sheetViews>
    <sheetView topLeftCell="F1" workbookViewId="0">
      <selection activeCell="F16" sqref="F16"/>
    </sheetView>
  </sheetViews>
  <sheetFormatPr defaultRowHeight="15" x14ac:dyDescent="0.25"/>
  <cols>
    <col min="1" max="1" width="11" customWidth="1"/>
    <col min="2" max="2" width="22" style="10" customWidth="1"/>
    <col min="3" max="3" width="22.85546875" customWidth="1"/>
    <col min="4" max="4" width="16.85546875" customWidth="1"/>
    <col min="5" max="5" width="17.140625" customWidth="1"/>
    <col min="6" max="6" width="15.28515625" customWidth="1"/>
    <col min="7" max="7" width="15" customWidth="1"/>
    <col min="8" max="8" width="11" customWidth="1"/>
    <col min="9" max="9" width="11.85546875" style="3" customWidth="1"/>
    <col min="10" max="10" width="17.42578125" style="3" customWidth="1"/>
    <col min="11" max="11" width="14.5703125" style="3" customWidth="1"/>
    <col min="12" max="12" width="13.5703125" style="3" customWidth="1"/>
    <col min="13" max="13" width="17.7109375" style="3" customWidth="1"/>
    <col min="14" max="14" width="17.7109375" customWidth="1"/>
    <col min="15" max="15" width="17.42578125" customWidth="1"/>
    <col min="16" max="16" width="20.7109375" customWidth="1"/>
    <col min="17" max="17" width="19.28515625" customWidth="1"/>
  </cols>
  <sheetData>
    <row r="1" spans="1:18" x14ac:dyDescent="0.25">
      <c r="A1" s="1" t="s">
        <v>1</v>
      </c>
      <c r="B1" s="11" t="s">
        <v>97</v>
      </c>
      <c r="C1" s="1" t="s">
        <v>2</v>
      </c>
      <c r="D1" s="1" t="s">
        <v>3</v>
      </c>
      <c r="E1" s="1" t="s">
        <v>4</v>
      </c>
      <c r="F1" s="1" t="s">
        <v>5</v>
      </c>
      <c r="G1" s="1" t="s">
        <v>6</v>
      </c>
      <c r="H1" s="1" t="s">
        <v>7</v>
      </c>
      <c r="I1" s="2" t="s">
        <v>8</v>
      </c>
      <c r="J1" s="2" t="s">
        <v>9</v>
      </c>
      <c r="K1" s="2" t="s">
        <v>10</v>
      </c>
      <c r="L1" s="2" t="s">
        <v>11</v>
      </c>
      <c r="M1" s="2" t="s">
        <v>106</v>
      </c>
      <c r="N1" s="1" t="s">
        <v>0</v>
      </c>
      <c r="O1" s="1" t="s">
        <v>20</v>
      </c>
      <c r="P1" s="1" t="s">
        <v>12</v>
      </c>
      <c r="Q1" s="1" t="s">
        <v>13</v>
      </c>
      <c r="R1" s="1"/>
    </row>
    <row r="2" spans="1:18" x14ac:dyDescent="0.25">
      <c r="A2" t="s">
        <v>14</v>
      </c>
      <c r="B2" s="10">
        <v>46023</v>
      </c>
      <c r="C2" t="s">
        <v>15</v>
      </c>
      <c r="D2" t="s">
        <v>16</v>
      </c>
      <c r="E2" t="s">
        <v>17</v>
      </c>
      <c r="F2" t="str">
        <f t="shared" ref="F2:F33" si="0">IF(E2="7Up 50cl","7up",IF(E2="Coca-Cola 50cl","Coca-Cola",IF(E2="Fanta Orange","Coca-Cola",IF(E2="Fearless Energy","Fearless",IF(E2="Maltina Can","Maltina",IF(E2="Monster Energy","Monster",IF(E2="Pepsi 50cl","Pepsi",IF(E2="Sprite 50cl","Coca-Cola"))))))))</f>
        <v>Coca-Cola</v>
      </c>
      <c r="G2" t="str">
        <f t="shared" ref="G2:G33" si="1">IF(F2="7up","Soft Drink",IF(F2="Coca-Cola","Soft Drink",IF(F2="Fearless","Energy Drink",IF(F2="Maltina","Malt Drink",IF(F2="Monster","Energy Drink",IF(F2="Pepsi","Soft Drink"))))))</f>
        <v>Soft Drink</v>
      </c>
      <c r="H2">
        <v>46</v>
      </c>
      <c r="I2" s="3">
        <f t="shared" ref="I2:I33" si="2">IF(E2="Sprite 50cl",470,IF(E2="Coca-Cola 50cl",500,IF(E2="Fanta Orange",450,IF(E2="Fearless Energy",700,IF(E2="Maltina Can",650,IF(E2="Monster Energy",900,IF(E2="Pepsi 50cl",480,IF(E2="Sprite 50cl",470,IF(E2="7up 50cl",460)))))))))</f>
        <v>470</v>
      </c>
      <c r="J2" s="3">
        <f>Table1[[#This Row],[Quality]]*Table1[[#This Row],[Unit Price]]</f>
        <v>21620</v>
      </c>
      <c r="K2" s="3">
        <f t="shared" ref="K2:K33" si="3">IF(I2=470,350,IF(I2=480,360,IF(I2=900,720,IF(I2=650,500,IF(I2=700,540,IF(I2=450,340,IF(I2=500,380,IF(I2=460,345))))))))</f>
        <v>350</v>
      </c>
      <c r="L2" s="3">
        <v>5520</v>
      </c>
      <c r="M2" s="3">
        <f>Table1[[#This Row],[Sales]]-Table1[[#This Row],[Profit]]</f>
        <v>16100</v>
      </c>
      <c r="N2" t="s">
        <v>18</v>
      </c>
      <c r="O2" t="str">
        <f t="shared" ref="O2:O33" si="4">IF(N2="South South","Port Harcourt",IF(N2="South East","Anambra",IF(N2="North Central","Abuja",IF(N2="North West","Kano",IF(N2="North East","Gombe",IF(N2="South West","Lagos"))))))</f>
        <v>Port Harcourt</v>
      </c>
      <c r="P2" t="str">
        <f t="shared" ref="P2:P33" si="5">IF(O2="Abuja","Micheal John",IF(O2="Anambra","Emmanuel Jonathan",IF(O2="Gombe","Isah Musa",IF(O2="Kano","Abdullahi Yahaya",IF(O2="Lagos","Ayo Kunle",IF(O2="Port Harcourt","Bella Godwin"))))))</f>
        <v>Bella Godwin</v>
      </c>
      <c r="Q2" t="s">
        <v>19</v>
      </c>
    </row>
    <row r="3" spans="1:18" x14ac:dyDescent="0.25">
      <c r="A3" t="s">
        <v>14</v>
      </c>
      <c r="B3" s="10">
        <v>46024</v>
      </c>
      <c r="C3" t="s">
        <v>15</v>
      </c>
      <c r="D3" t="s">
        <v>16</v>
      </c>
      <c r="E3" t="s">
        <v>40</v>
      </c>
      <c r="F3" t="str">
        <f t="shared" si="0"/>
        <v>Maltina</v>
      </c>
      <c r="G3" t="str">
        <f t="shared" si="1"/>
        <v>Malt Drink</v>
      </c>
      <c r="H3">
        <v>34</v>
      </c>
      <c r="I3" s="3">
        <f t="shared" si="2"/>
        <v>650</v>
      </c>
      <c r="J3" s="3">
        <f>Table1[[#This Row],[Quality]]*Table1[[#This Row],[Unit Price]]</f>
        <v>22100</v>
      </c>
      <c r="K3" s="3">
        <f t="shared" si="3"/>
        <v>500</v>
      </c>
      <c r="L3" s="3">
        <v>11500</v>
      </c>
      <c r="M3" s="3">
        <f>Table1[[#This Row],[Sales]]-Table1[[#This Row],[Profit]]</f>
        <v>10600</v>
      </c>
      <c r="N3" t="s">
        <v>18</v>
      </c>
      <c r="O3" t="str">
        <f t="shared" si="4"/>
        <v>Port Harcourt</v>
      </c>
      <c r="P3" t="str">
        <f t="shared" si="5"/>
        <v>Bella Godwin</v>
      </c>
      <c r="Q3" t="s">
        <v>52</v>
      </c>
    </row>
    <row r="4" spans="1:18" x14ac:dyDescent="0.25">
      <c r="A4" t="s">
        <v>21</v>
      </c>
      <c r="B4" s="10">
        <v>46025</v>
      </c>
      <c r="C4" t="s">
        <v>26</v>
      </c>
      <c r="D4" t="s">
        <v>16</v>
      </c>
      <c r="E4" t="s">
        <v>41</v>
      </c>
      <c r="F4" t="str">
        <f t="shared" si="0"/>
        <v>Pepsi</v>
      </c>
      <c r="G4" t="str">
        <f t="shared" si="1"/>
        <v>Soft Drink</v>
      </c>
      <c r="H4">
        <v>54</v>
      </c>
      <c r="I4" s="3">
        <f t="shared" si="2"/>
        <v>480</v>
      </c>
      <c r="J4" s="3">
        <f>Table1[[#This Row],[Quality]]*Table1[[#This Row],[Unit Price]]</f>
        <v>25920</v>
      </c>
      <c r="K4" s="3">
        <f t="shared" si="3"/>
        <v>360</v>
      </c>
      <c r="L4" s="3">
        <v>10000</v>
      </c>
      <c r="M4" s="3">
        <f>Table1[[#This Row],[Sales]]-Table1[[#This Row],[Profit]]</f>
        <v>15920</v>
      </c>
      <c r="N4" t="s">
        <v>47</v>
      </c>
      <c r="O4" t="str">
        <f t="shared" si="4"/>
        <v>Lagos</v>
      </c>
      <c r="P4" t="str">
        <f t="shared" si="5"/>
        <v>Ayo Kunle</v>
      </c>
      <c r="Q4" t="s">
        <v>53</v>
      </c>
    </row>
    <row r="5" spans="1:18" x14ac:dyDescent="0.25">
      <c r="A5" t="s">
        <v>21</v>
      </c>
      <c r="B5" s="10">
        <v>46026</v>
      </c>
      <c r="C5" t="s">
        <v>26</v>
      </c>
      <c r="D5" t="s">
        <v>16</v>
      </c>
      <c r="E5" t="s">
        <v>42</v>
      </c>
      <c r="F5" t="str">
        <f t="shared" si="0"/>
        <v>Coca-Cola</v>
      </c>
      <c r="G5" t="str">
        <f t="shared" si="1"/>
        <v>Soft Drink</v>
      </c>
      <c r="H5">
        <v>67</v>
      </c>
      <c r="I5" s="3">
        <f t="shared" si="2"/>
        <v>450</v>
      </c>
      <c r="J5" s="3">
        <f>Table1[[#This Row],[Quality]]*Table1[[#This Row],[Unit Price]]</f>
        <v>30150</v>
      </c>
      <c r="K5" s="3">
        <f t="shared" si="3"/>
        <v>340</v>
      </c>
      <c r="L5" s="3">
        <v>12000</v>
      </c>
      <c r="M5" s="3">
        <f>Table1[[#This Row],[Sales]]-Table1[[#This Row],[Profit]]</f>
        <v>18150</v>
      </c>
      <c r="N5" t="s">
        <v>47</v>
      </c>
      <c r="O5" t="str">
        <f t="shared" si="4"/>
        <v>Lagos</v>
      </c>
      <c r="P5" t="str">
        <f t="shared" si="5"/>
        <v>Ayo Kunle</v>
      </c>
      <c r="Q5" t="s">
        <v>53</v>
      </c>
    </row>
    <row r="6" spans="1:18" x14ac:dyDescent="0.25">
      <c r="A6" t="s">
        <v>22</v>
      </c>
      <c r="B6" s="10">
        <v>46027</v>
      </c>
      <c r="C6" t="s">
        <v>27</v>
      </c>
      <c r="D6" t="s">
        <v>37</v>
      </c>
      <c r="E6" t="s">
        <v>43</v>
      </c>
      <c r="F6" t="str">
        <f t="shared" si="0"/>
        <v>Monster</v>
      </c>
      <c r="G6" t="str">
        <f t="shared" si="1"/>
        <v>Energy Drink</v>
      </c>
      <c r="H6">
        <v>45</v>
      </c>
      <c r="I6" s="3">
        <f t="shared" si="2"/>
        <v>900</v>
      </c>
      <c r="J6" s="3">
        <f>Table1[[#This Row],[Quality]]*Table1[[#This Row],[Unit Price]]</f>
        <v>40500</v>
      </c>
      <c r="K6" s="3">
        <f t="shared" si="3"/>
        <v>720</v>
      </c>
      <c r="L6" s="3">
        <v>13500</v>
      </c>
      <c r="M6" s="3">
        <f>Table1[[#This Row],[Sales]]-Table1[[#This Row],[Profit]]</f>
        <v>27000</v>
      </c>
      <c r="N6" t="s">
        <v>18</v>
      </c>
      <c r="O6" t="str">
        <f t="shared" si="4"/>
        <v>Port Harcourt</v>
      </c>
      <c r="P6" t="str">
        <f t="shared" si="5"/>
        <v>Bella Godwin</v>
      </c>
      <c r="Q6" t="s">
        <v>19</v>
      </c>
    </row>
    <row r="7" spans="1:18" x14ac:dyDescent="0.25">
      <c r="A7" t="s">
        <v>22</v>
      </c>
      <c r="B7" s="10">
        <v>46028</v>
      </c>
      <c r="C7" t="s">
        <v>27</v>
      </c>
      <c r="D7" t="s">
        <v>37</v>
      </c>
      <c r="E7" t="s">
        <v>44</v>
      </c>
      <c r="F7" t="str">
        <f t="shared" si="0"/>
        <v>7up</v>
      </c>
      <c r="G7" t="str">
        <f t="shared" si="1"/>
        <v>Soft Drink</v>
      </c>
      <c r="H7">
        <v>87</v>
      </c>
      <c r="I7" s="3">
        <f t="shared" si="2"/>
        <v>460</v>
      </c>
      <c r="J7" s="3">
        <f>Table1[[#This Row],[Quality]]*Table1[[#This Row],[Unit Price]]</f>
        <v>40020</v>
      </c>
      <c r="K7" s="3">
        <f t="shared" si="3"/>
        <v>345</v>
      </c>
      <c r="L7" s="3">
        <v>15000</v>
      </c>
      <c r="M7" s="3">
        <f>Table1[[#This Row],[Sales]]-Table1[[#This Row],[Profit]]</f>
        <v>25020</v>
      </c>
      <c r="N7" t="s">
        <v>18</v>
      </c>
      <c r="O7" t="str">
        <f t="shared" si="4"/>
        <v>Port Harcourt</v>
      </c>
      <c r="P7" t="str">
        <f t="shared" si="5"/>
        <v>Bella Godwin</v>
      </c>
      <c r="Q7" t="s">
        <v>19</v>
      </c>
    </row>
    <row r="8" spans="1:18" x14ac:dyDescent="0.25">
      <c r="A8" t="s">
        <v>23</v>
      </c>
      <c r="B8" s="10">
        <v>46029</v>
      </c>
      <c r="C8" t="s">
        <v>28</v>
      </c>
      <c r="D8" t="s">
        <v>38</v>
      </c>
      <c r="E8" t="s">
        <v>42</v>
      </c>
      <c r="F8" t="str">
        <f t="shared" si="0"/>
        <v>Coca-Cola</v>
      </c>
      <c r="G8" t="str">
        <f t="shared" si="1"/>
        <v>Soft Drink</v>
      </c>
      <c r="H8">
        <v>12</v>
      </c>
      <c r="I8" s="3">
        <f t="shared" si="2"/>
        <v>450</v>
      </c>
      <c r="J8" s="3">
        <f>Table1[[#This Row],[Quality]]*Table1[[#This Row],[Unit Price]]</f>
        <v>5400</v>
      </c>
      <c r="K8" s="3">
        <f t="shared" si="3"/>
        <v>340</v>
      </c>
      <c r="L8" s="3">
        <v>1500</v>
      </c>
      <c r="M8" s="3">
        <f>Table1[[#This Row],[Sales]]-Table1[[#This Row],[Profit]]</f>
        <v>3900</v>
      </c>
      <c r="N8" t="s">
        <v>48</v>
      </c>
      <c r="O8" t="str">
        <f t="shared" si="4"/>
        <v>Kano</v>
      </c>
      <c r="P8" t="str">
        <f t="shared" si="5"/>
        <v>Abdullahi Yahaya</v>
      </c>
      <c r="Q8" t="s">
        <v>19</v>
      </c>
    </row>
    <row r="9" spans="1:18" x14ac:dyDescent="0.25">
      <c r="A9" t="s">
        <v>23</v>
      </c>
      <c r="B9" s="10">
        <v>46030</v>
      </c>
      <c r="C9" t="s">
        <v>28</v>
      </c>
      <c r="D9" t="s">
        <v>38</v>
      </c>
      <c r="E9" t="s">
        <v>45</v>
      </c>
      <c r="F9" t="str">
        <f t="shared" si="0"/>
        <v>Coca-Cola</v>
      </c>
      <c r="G9" t="str">
        <f t="shared" si="1"/>
        <v>Soft Drink</v>
      </c>
      <c r="H9">
        <v>34</v>
      </c>
      <c r="I9" s="3">
        <f t="shared" si="2"/>
        <v>500</v>
      </c>
      <c r="J9" s="3">
        <f>Table1[[#This Row],[Quality]]*Table1[[#This Row],[Unit Price]]</f>
        <v>17000</v>
      </c>
      <c r="K9" s="3">
        <f t="shared" si="3"/>
        <v>380</v>
      </c>
      <c r="L9" s="3">
        <v>3000</v>
      </c>
      <c r="M9" s="3">
        <f>Table1[[#This Row],[Sales]]-Table1[[#This Row],[Profit]]</f>
        <v>14000</v>
      </c>
      <c r="N9" t="s">
        <v>48</v>
      </c>
      <c r="O9" t="str">
        <f t="shared" si="4"/>
        <v>Kano</v>
      </c>
      <c r="P9" t="str">
        <f t="shared" si="5"/>
        <v>Abdullahi Yahaya</v>
      </c>
      <c r="Q9" t="s">
        <v>19</v>
      </c>
    </row>
    <row r="10" spans="1:18" x14ac:dyDescent="0.25">
      <c r="A10" t="s">
        <v>23</v>
      </c>
      <c r="B10" s="10">
        <v>46031</v>
      </c>
      <c r="C10" t="s">
        <v>28</v>
      </c>
      <c r="D10" t="s">
        <v>38</v>
      </c>
      <c r="E10" t="s">
        <v>41</v>
      </c>
      <c r="F10" t="str">
        <f t="shared" si="0"/>
        <v>Pepsi</v>
      </c>
      <c r="G10" t="str">
        <f t="shared" si="1"/>
        <v>Soft Drink</v>
      </c>
      <c r="H10">
        <v>56</v>
      </c>
      <c r="I10" s="3">
        <f t="shared" si="2"/>
        <v>480</v>
      </c>
      <c r="J10" s="3">
        <f>Table1[[#This Row],[Quality]]*Table1[[#This Row],[Unit Price]]</f>
        <v>26880</v>
      </c>
      <c r="K10" s="3">
        <f t="shared" si="3"/>
        <v>360</v>
      </c>
      <c r="L10" s="3">
        <v>8000</v>
      </c>
      <c r="M10" s="3">
        <f>Table1[[#This Row],[Sales]]-Table1[[#This Row],[Profit]]</f>
        <v>18880</v>
      </c>
      <c r="N10" t="s">
        <v>48</v>
      </c>
      <c r="O10" t="str">
        <f t="shared" si="4"/>
        <v>Kano</v>
      </c>
      <c r="P10" t="str">
        <f t="shared" si="5"/>
        <v>Abdullahi Yahaya</v>
      </c>
      <c r="Q10" t="s">
        <v>19</v>
      </c>
    </row>
    <row r="11" spans="1:18" x14ac:dyDescent="0.25">
      <c r="A11" t="s">
        <v>55</v>
      </c>
      <c r="B11" s="10">
        <v>46032</v>
      </c>
      <c r="C11" t="s">
        <v>29</v>
      </c>
      <c r="D11" t="s">
        <v>39</v>
      </c>
      <c r="E11" t="s">
        <v>46</v>
      </c>
      <c r="F11" t="str">
        <f t="shared" si="0"/>
        <v>Fearless</v>
      </c>
      <c r="G11" t="str">
        <f t="shared" si="1"/>
        <v>Energy Drink</v>
      </c>
      <c r="H11">
        <v>78</v>
      </c>
      <c r="I11" s="3">
        <f t="shared" si="2"/>
        <v>700</v>
      </c>
      <c r="J11" s="3">
        <f>Table1[[#This Row],[Quality]]*Table1[[#This Row],[Unit Price]]</f>
        <v>54600</v>
      </c>
      <c r="K11" s="3">
        <f t="shared" si="3"/>
        <v>540</v>
      </c>
      <c r="L11" s="3">
        <v>12000</v>
      </c>
      <c r="M11" s="3">
        <f>Table1[[#This Row],[Sales]]-Table1[[#This Row],[Profit]]</f>
        <v>42600</v>
      </c>
      <c r="N11" t="s">
        <v>49</v>
      </c>
      <c r="O11" t="str">
        <f t="shared" si="4"/>
        <v>Abuja</v>
      </c>
      <c r="P11" t="str">
        <f t="shared" si="5"/>
        <v>Micheal John</v>
      </c>
      <c r="Q11" t="s">
        <v>52</v>
      </c>
    </row>
    <row r="12" spans="1:18" x14ac:dyDescent="0.25">
      <c r="A12" t="s">
        <v>55</v>
      </c>
      <c r="B12" s="10">
        <v>46033</v>
      </c>
      <c r="C12" t="s">
        <v>29</v>
      </c>
      <c r="D12" t="s">
        <v>39</v>
      </c>
      <c r="E12" t="s">
        <v>45</v>
      </c>
      <c r="F12" t="str">
        <f t="shared" si="0"/>
        <v>Coca-Cola</v>
      </c>
      <c r="G12" t="str">
        <f t="shared" si="1"/>
        <v>Soft Drink</v>
      </c>
      <c r="H12">
        <v>45</v>
      </c>
      <c r="I12" s="3">
        <f t="shared" si="2"/>
        <v>500</v>
      </c>
      <c r="J12" s="3">
        <f>Table1[[#This Row],[Quality]]*Table1[[#This Row],[Unit Price]]</f>
        <v>22500</v>
      </c>
      <c r="K12" s="3">
        <f t="shared" si="3"/>
        <v>380</v>
      </c>
      <c r="L12" s="3">
        <v>10000</v>
      </c>
      <c r="M12" s="3">
        <f>Table1[[#This Row],[Sales]]-Table1[[#This Row],[Profit]]</f>
        <v>12500</v>
      </c>
      <c r="N12" t="s">
        <v>49</v>
      </c>
      <c r="O12" t="str">
        <f t="shared" si="4"/>
        <v>Abuja</v>
      </c>
      <c r="P12" t="str">
        <f t="shared" si="5"/>
        <v>Micheal John</v>
      </c>
      <c r="Q12" t="s">
        <v>52</v>
      </c>
    </row>
    <row r="13" spans="1:18" x14ac:dyDescent="0.25">
      <c r="A13" t="s">
        <v>25</v>
      </c>
      <c r="B13" s="10">
        <v>46034</v>
      </c>
      <c r="C13" t="s">
        <v>15</v>
      </c>
      <c r="D13" t="s">
        <v>39</v>
      </c>
      <c r="E13" t="s">
        <v>41</v>
      </c>
      <c r="F13" t="str">
        <f t="shared" si="0"/>
        <v>Pepsi</v>
      </c>
      <c r="G13" t="str">
        <f t="shared" si="1"/>
        <v>Soft Drink</v>
      </c>
      <c r="H13">
        <v>32</v>
      </c>
      <c r="I13" s="3">
        <f t="shared" si="2"/>
        <v>480</v>
      </c>
      <c r="J13" s="3">
        <f>Table1[[#This Row],[Quality]]*Table1[[#This Row],[Unit Price]]</f>
        <v>15360</v>
      </c>
      <c r="K13" s="3">
        <f t="shared" si="3"/>
        <v>360</v>
      </c>
      <c r="L13" s="3">
        <v>4500</v>
      </c>
      <c r="M13" s="3">
        <f>Table1[[#This Row],[Sales]]-Table1[[#This Row],[Profit]]</f>
        <v>10860</v>
      </c>
      <c r="N13" t="s">
        <v>50</v>
      </c>
      <c r="O13" t="str">
        <f t="shared" si="4"/>
        <v>Gombe</v>
      </c>
      <c r="P13" t="str">
        <f t="shared" si="5"/>
        <v>Isah Musa</v>
      </c>
      <c r="Q13" t="s">
        <v>52</v>
      </c>
    </row>
    <row r="14" spans="1:18" x14ac:dyDescent="0.25">
      <c r="A14" t="s">
        <v>25</v>
      </c>
      <c r="B14" s="10">
        <v>46035</v>
      </c>
      <c r="C14" t="s">
        <v>15</v>
      </c>
      <c r="D14" t="s">
        <v>39</v>
      </c>
      <c r="E14" t="s">
        <v>46</v>
      </c>
      <c r="F14" t="str">
        <f t="shared" si="0"/>
        <v>Fearless</v>
      </c>
      <c r="G14" t="str">
        <f t="shared" si="1"/>
        <v>Energy Drink</v>
      </c>
      <c r="H14">
        <v>35</v>
      </c>
      <c r="I14" s="3">
        <f t="shared" si="2"/>
        <v>700</v>
      </c>
      <c r="J14" s="3">
        <f>Table1[[#This Row],[Quality]]*Table1[[#This Row],[Unit Price]]</f>
        <v>24500</v>
      </c>
      <c r="K14" s="3">
        <f t="shared" si="3"/>
        <v>540</v>
      </c>
      <c r="L14" s="3">
        <v>5600</v>
      </c>
      <c r="M14" s="3">
        <f>Table1[[#This Row],[Sales]]-Table1[[#This Row],[Profit]]</f>
        <v>18900</v>
      </c>
      <c r="N14" t="s">
        <v>50</v>
      </c>
      <c r="O14" t="str">
        <f t="shared" si="4"/>
        <v>Gombe</v>
      </c>
      <c r="P14" t="str">
        <f t="shared" si="5"/>
        <v>Isah Musa</v>
      </c>
      <c r="Q14" t="s">
        <v>52</v>
      </c>
    </row>
    <row r="15" spans="1:18" x14ac:dyDescent="0.25">
      <c r="A15" t="s">
        <v>54</v>
      </c>
      <c r="B15" s="10">
        <v>46036</v>
      </c>
      <c r="C15" t="s">
        <v>15</v>
      </c>
      <c r="D15" t="s">
        <v>39</v>
      </c>
      <c r="E15" t="s">
        <v>17</v>
      </c>
      <c r="F15" t="str">
        <f t="shared" si="0"/>
        <v>Coca-Cola</v>
      </c>
      <c r="G15" t="str">
        <f t="shared" si="1"/>
        <v>Soft Drink</v>
      </c>
      <c r="H15">
        <v>67</v>
      </c>
      <c r="I15" s="3">
        <f t="shared" si="2"/>
        <v>470</v>
      </c>
      <c r="J15" s="3">
        <f>Table1[[#This Row],[Quality]]*Table1[[#This Row],[Unit Price]]</f>
        <v>31490</v>
      </c>
      <c r="K15" s="3">
        <f t="shared" si="3"/>
        <v>350</v>
      </c>
      <c r="L15" s="3">
        <v>6900</v>
      </c>
      <c r="M15" s="3">
        <f>Table1[[#This Row],[Sales]]-Table1[[#This Row],[Profit]]</f>
        <v>24590</v>
      </c>
      <c r="N15" t="s">
        <v>50</v>
      </c>
      <c r="O15" t="str">
        <f t="shared" si="4"/>
        <v>Gombe</v>
      </c>
      <c r="P15" t="str">
        <f t="shared" si="5"/>
        <v>Isah Musa</v>
      </c>
      <c r="Q15" t="s">
        <v>52</v>
      </c>
    </row>
    <row r="16" spans="1:18" x14ac:dyDescent="0.25">
      <c r="A16" t="s">
        <v>54</v>
      </c>
      <c r="B16" s="10">
        <v>46037</v>
      </c>
      <c r="C16" t="s">
        <v>15</v>
      </c>
      <c r="D16" t="s">
        <v>39</v>
      </c>
      <c r="E16" t="s">
        <v>45</v>
      </c>
      <c r="F16" t="str">
        <f t="shared" si="0"/>
        <v>Coca-Cola</v>
      </c>
      <c r="G16" t="str">
        <f t="shared" si="1"/>
        <v>Soft Drink</v>
      </c>
      <c r="H16">
        <v>54</v>
      </c>
      <c r="I16" s="3">
        <f t="shared" si="2"/>
        <v>500</v>
      </c>
      <c r="J16" s="3">
        <f>Table1[[#This Row],[Quality]]*Table1[[#This Row],[Unit Price]]</f>
        <v>27000</v>
      </c>
      <c r="K16" s="3">
        <f t="shared" si="3"/>
        <v>380</v>
      </c>
      <c r="L16" s="3">
        <v>6000</v>
      </c>
      <c r="M16" s="3">
        <f>Table1[[#This Row],[Sales]]-Table1[[#This Row],[Profit]]</f>
        <v>21000</v>
      </c>
      <c r="N16" t="s">
        <v>50</v>
      </c>
      <c r="O16" t="str">
        <f t="shared" si="4"/>
        <v>Gombe</v>
      </c>
      <c r="P16" t="str">
        <f t="shared" si="5"/>
        <v>Isah Musa</v>
      </c>
      <c r="Q16" t="s">
        <v>53</v>
      </c>
    </row>
    <row r="17" spans="1:17" x14ac:dyDescent="0.25">
      <c r="A17" t="s">
        <v>24</v>
      </c>
      <c r="B17" s="10">
        <v>46038</v>
      </c>
      <c r="C17" t="s">
        <v>30</v>
      </c>
      <c r="D17" t="s">
        <v>39</v>
      </c>
      <c r="E17" t="s">
        <v>44</v>
      </c>
      <c r="F17" t="str">
        <f t="shared" si="0"/>
        <v>7up</v>
      </c>
      <c r="G17" t="str">
        <f t="shared" si="1"/>
        <v>Soft Drink</v>
      </c>
      <c r="H17">
        <v>23</v>
      </c>
      <c r="I17" s="3">
        <f t="shared" si="2"/>
        <v>460</v>
      </c>
      <c r="J17" s="3">
        <f>Table1[[#This Row],[Quality]]*Table1[[#This Row],[Unit Price]]</f>
        <v>10580</v>
      </c>
      <c r="K17" s="3">
        <f t="shared" si="3"/>
        <v>345</v>
      </c>
      <c r="L17" s="3">
        <v>4500</v>
      </c>
      <c r="M17" s="3">
        <f>Table1[[#This Row],[Sales]]-Table1[[#This Row],[Profit]]</f>
        <v>6080</v>
      </c>
      <c r="N17" t="s">
        <v>51</v>
      </c>
      <c r="O17" t="str">
        <f t="shared" si="4"/>
        <v>Anambra</v>
      </c>
      <c r="P17" t="str">
        <f t="shared" si="5"/>
        <v>Emmanuel Jonathan</v>
      </c>
      <c r="Q17" t="s">
        <v>53</v>
      </c>
    </row>
    <row r="18" spans="1:17" x14ac:dyDescent="0.25">
      <c r="A18" t="s">
        <v>24</v>
      </c>
      <c r="B18" s="10">
        <v>46039</v>
      </c>
      <c r="C18" t="s">
        <v>30</v>
      </c>
      <c r="D18" t="s">
        <v>39</v>
      </c>
      <c r="E18" t="s">
        <v>40</v>
      </c>
      <c r="F18" t="str">
        <f t="shared" si="0"/>
        <v>Maltina</v>
      </c>
      <c r="G18" t="str">
        <f t="shared" si="1"/>
        <v>Malt Drink</v>
      </c>
      <c r="H18">
        <v>87</v>
      </c>
      <c r="I18" s="3">
        <f t="shared" si="2"/>
        <v>650</v>
      </c>
      <c r="J18" s="3">
        <f>Table1[[#This Row],[Quality]]*Table1[[#This Row],[Unit Price]]</f>
        <v>56550</v>
      </c>
      <c r="K18" s="3">
        <f t="shared" si="3"/>
        <v>500</v>
      </c>
      <c r="L18" s="3">
        <v>12000</v>
      </c>
      <c r="M18" s="3">
        <f>Table1[[#This Row],[Sales]]-Table1[[#This Row],[Profit]]</f>
        <v>44550</v>
      </c>
      <c r="N18" t="s">
        <v>51</v>
      </c>
      <c r="O18" t="str">
        <f t="shared" si="4"/>
        <v>Anambra</v>
      </c>
      <c r="P18" t="str">
        <f t="shared" si="5"/>
        <v>Emmanuel Jonathan</v>
      </c>
      <c r="Q18" t="s">
        <v>53</v>
      </c>
    </row>
    <row r="19" spans="1:17" x14ac:dyDescent="0.25">
      <c r="A19" t="s">
        <v>24</v>
      </c>
      <c r="B19" s="10">
        <v>46040</v>
      </c>
      <c r="C19" t="s">
        <v>30</v>
      </c>
      <c r="D19" t="s">
        <v>39</v>
      </c>
      <c r="E19" t="s">
        <v>46</v>
      </c>
      <c r="F19" t="str">
        <f t="shared" si="0"/>
        <v>Fearless</v>
      </c>
      <c r="G19" t="str">
        <f t="shared" si="1"/>
        <v>Energy Drink</v>
      </c>
      <c r="H19">
        <v>90</v>
      </c>
      <c r="I19" s="3">
        <f>IF(E19="Sprite 50cl",470,IF(E19="Coca-Cola 50cl",500,IF(E19="Fanta Orange",450,IF(E19="Fearless Energy",700,IF(E19="Maltina Can",650,IF(E19="Monster Energy",900,IF(E19="Pepsi 50cl",480,IF(E19="Sprite 50cl",470,IF(E19="7up 50cl",460)))))))))</f>
        <v>700</v>
      </c>
      <c r="J19" s="3">
        <f>Table1[[#This Row],[Quality]]*Table1[[#This Row],[Unit Price]]</f>
        <v>63000</v>
      </c>
      <c r="K19" s="3">
        <f t="shared" si="3"/>
        <v>540</v>
      </c>
      <c r="L19" s="3">
        <v>23000</v>
      </c>
      <c r="M19" s="3">
        <f>Table1[[#This Row],[Sales]]-Table1[[#This Row],[Profit]]</f>
        <v>40000</v>
      </c>
      <c r="N19" t="s">
        <v>51</v>
      </c>
      <c r="O19" t="str">
        <f t="shared" si="4"/>
        <v>Anambra</v>
      </c>
      <c r="P19" t="str">
        <f t="shared" si="5"/>
        <v>Emmanuel Jonathan</v>
      </c>
      <c r="Q19" t="s">
        <v>52</v>
      </c>
    </row>
    <row r="20" spans="1:17" x14ac:dyDescent="0.25">
      <c r="A20" t="s">
        <v>24</v>
      </c>
      <c r="B20" s="10">
        <v>46041</v>
      </c>
      <c r="C20" t="s">
        <v>30</v>
      </c>
      <c r="D20" t="s">
        <v>39</v>
      </c>
      <c r="E20" t="s">
        <v>45</v>
      </c>
      <c r="F20" t="str">
        <f t="shared" si="0"/>
        <v>Coca-Cola</v>
      </c>
      <c r="G20" t="str">
        <f t="shared" si="1"/>
        <v>Soft Drink</v>
      </c>
      <c r="H20">
        <v>34</v>
      </c>
      <c r="I20" s="3">
        <f t="shared" si="2"/>
        <v>500</v>
      </c>
      <c r="J20" s="3">
        <f>Table1[[#This Row],[Quality]]*Table1[[#This Row],[Unit Price]]</f>
        <v>17000</v>
      </c>
      <c r="K20" s="3">
        <f t="shared" si="3"/>
        <v>380</v>
      </c>
      <c r="L20" s="3">
        <v>5000</v>
      </c>
      <c r="M20" s="3">
        <f>Table1[[#This Row],[Sales]]-Table1[[#This Row],[Profit]]</f>
        <v>12000</v>
      </c>
      <c r="N20" t="s">
        <v>51</v>
      </c>
      <c r="O20" t="str">
        <f t="shared" si="4"/>
        <v>Anambra</v>
      </c>
      <c r="P20" t="str">
        <f t="shared" si="5"/>
        <v>Emmanuel Jonathan</v>
      </c>
      <c r="Q20" t="s">
        <v>52</v>
      </c>
    </row>
    <row r="21" spans="1:17" x14ac:dyDescent="0.25">
      <c r="A21" t="s">
        <v>56</v>
      </c>
      <c r="B21" s="10">
        <v>46042</v>
      </c>
      <c r="C21" t="s">
        <v>26</v>
      </c>
      <c r="D21" t="s">
        <v>37</v>
      </c>
      <c r="E21" t="s">
        <v>41</v>
      </c>
      <c r="F21" t="str">
        <f t="shared" si="0"/>
        <v>Pepsi</v>
      </c>
      <c r="G21" t="str">
        <f t="shared" si="1"/>
        <v>Soft Drink</v>
      </c>
      <c r="H21">
        <v>23</v>
      </c>
      <c r="I21" s="3">
        <f t="shared" si="2"/>
        <v>480</v>
      </c>
      <c r="J21" s="3">
        <f>Table1[[#This Row],[Quality]]*Table1[[#This Row],[Unit Price]]</f>
        <v>11040</v>
      </c>
      <c r="K21" s="3">
        <f t="shared" si="3"/>
        <v>360</v>
      </c>
      <c r="L21" s="3">
        <v>3600</v>
      </c>
      <c r="M21" s="3">
        <f>Table1[[#This Row],[Sales]]-Table1[[#This Row],[Profit]]</f>
        <v>7440</v>
      </c>
      <c r="N21" t="s">
        <v>51</v>
      </c>
      <c r="O21" t="str">
        <f t="shared" si="4"/>
        <v>Anambra</v>
      </c>
      <c r="P21" t="str">
        <f t="shared" si="5"/>
        <v>Emmanuel Jonathan</v>
      </c>
      <c r="Q21" t="s">
        <v>52</v>
      </c>
    </row>
    <row r="22" spans="1:17" x14ac:dyDescent="0.25">
      <c r="A22" t="s">
        <v>56</v>
      </c>
      <c r="B22" s="10">
        <v>46043</v>
      </c>
      <c r="C22" t="s">
        <v>26</v>
      </c>
      <c r="D22" t="s">
        <v>37</v>
      </c>
      <c r="E22" t="s">
        <v>40</v>
      </c>
      <c r="F22" t="str">
        <f t="shared" si="0"/>
        <v>Maltina</v>
      </c>
      <c r="G22" t="str">
        <f t="shared" si="1"/>
        <v>Malt Drink</v>
      </c>
      <c r="H22">
        <v>45</v>
      </c>
      <c r="I22" s="3">
        <f t="shared" si="2"/>
        <v>650</v>
      </c>
      <c r="J22" s="3">
        <f>Table1[[#This Row],[Quality]]*Table1[[#This Row],[Unit Price]]</f>
        <v>29250</v>
      </c>
      <c r="K22" s="3">
        <f t="shared" si="3"/>
        <v>500</v>
      </c>
      <c r="L22" s="3">
        <v>6700</v>
      </c>
      <c r="M22" s="3">
        <f>Table1[[#This Row],[Sales]]-Table1[[#This Row],[Profit]]</f>
        <v>22550</v>
      </c>
      <c r="N22" t="s">
        <v>47</v>
      </c>
      <c r="O22" t="str">
        <f t="shared" si="4"/>
        <v>Lagos</v>
      </c>
      <c r="P22" t="str">
        <f t="shared" si="5"/>
        <v>Ayo Kunle</v>
      </c>
      <c r="Q22" t="s">
        <v>19</v>
      </c>
    </row>
    <row r="23" spans="1:17" x14ac:dyDescent="0.25">
      <c r="A23" t="s">
        <v>56</v>
      </c>
      <c r="B23" s="10">
        <v>46044</v>
      </c>
      <c r="C23" t="s">
        <v>26</v>
      </c>
      <c r="D23" t="s">
        <v>37</v>
      </c>
      <c r="E23" t="s">
        <v>17</v>
      </c>
      <c r="F23" t="str">
        <f t="shared" si="0"/>
        <v>Coca-Cola</v>
      </c>
      <c r="G23" t="str">
        <f t="shared" si="1"/>
        <v>Soft Drink</v>
      </c>
      <c r="H23">
        <v>67</v>
      </c>
      <c r="I23" s="3">
        <f t="shared" si="2"/>
        <v>470</v>
      </c>
      <c r="J23" s="3">
        <f>Table1[[#This Row],[Quality]]*Table1[[#This Row],[Unit Price]]</f>
        <v>31490</v>
      </c>
      <c r="K23" s="3">
        <f t="shared" si="3"/>
        <v>350</v>
      </c>
      <c r="L23" s="3">
        <v>4500</v>
      </c>
      <c r="M23" s="3">
        <f>Table1[[#This Row],[Sales]]-Table1[[#This Row],[Profit]]</f>
        <v>26990</v>
      </c>
      <c r="N23" t="s">
        <v>47</v>
      </c>
      <c r="O23" t="str">
        <f t="shared" si="4"/>
        <v>Lagos</v>
      </c>
      <c r="P23" t="str">
        <f t="shared" si="5"/>
        <v>Ayo Kunle</v>
      </c>
      <c r="Q23" t="s">
        <v>19</v>
      </c>
    </row>
    <row r="24" spans="1:17" x14ac:dyDescent="0.25">
      <c r="A24" t="s">
        <v>56</v>
      </c>
      <c r="B24" s="10">
        <v>46045</v>
      </c>
      <c r="C24" t="s">
        <v>26</v>
      </c>
      <c r="D24" t="s">
        <v>37</v>
      </c>
      <c r="E24" t="s">
        <v>45</v>
      </c>
      <c r="F24" t="str">
        <f t="shared" si="0"/>
        <v>Coca-Cola</v>
      </c>
      <c r="G24" t="str">
        <f t="shared" si="1"/>
        <v>Soft Drink</v>
      </c>
      <c r="H24">
        <v>89</v>
      </c>
      <c r="I24" s="3">
        <f t="shared" si="2"/>
        <v>500</v>
      </c>
      <c r="J24" s="3">
        <f>Table1[[#This Row],[Quality]]*Table1[[#This Row],[Unit Price]]</f>
        <v>44500</v>
      </c>
      <c r="K24" s="3">
        <f t="shared" si="3"/>
        <v>380</v>
      </c>
      <c r="L24" s="3">
        <v>12400</v>
      </c>
      <c r="M24" s="3">
        <f>Table1[[#This Row],[Sales]]-Table1[[#This Row],[Profit]]</f>
        <v>32100</v>
      </c>
      <c r="N24" t="s">
        <v>47</v>
      </c>
      <c r="O24" t="str">
        <f t="shared" si="4"/>
        <v>Lagos</v>
      </c>
      <c r="P24" t="str">
        <f t="shared" si="5"/>
        <v>Ayo Kunle</v>
      </c>
      <c r="Q24" t="s">
        <v>19</v>
      </c>
    </row>
    <row r="25" spans="1:17" x14ac:dyDescent="0.25">
      <c r="A25" t="s">
        <v>57</v>
      </c>
      <c r="B25" s="10">
        <v>46046</v>
      </c>
      <c r="C25" t="s">
        <v>31</v>
      </c>
      <c r="D25" t="s">
        <v>16</v>
      </c>
      <c r="E25" t="s">
        <v>43</v>
      </c>
      <c r="F25" t="str">
        <f t="shared" si="0"/>
        <v>Monster</v>
      </c>
      <c r="G25" t="str">
        <f t="shared" si="1"/>
        <v>Energy Drink</v>
      </c>
      <c r="H25">
        <v>12</v>
      </c>
      <c r="I25" s="3">
        <f t="shared" si="2"/>
        <v>900</v>
      </c>
      <c r="J25" s="3">
        <f>Table1[[#This Row],[Quality]]*Table1[[#This Row],[Unit Price]]</f>
        <v>10800</v>
      </c>
      <c r="K25" s="3">
        <f t="shared" si="3"/>
        <v>720</v>
      </c>
      <c r="L25" s="3">
        <v>4500</v>
      </c>
      <c r="M25" s="3">
        <f>Table1[[#This Row],[Sales]]-Table1[[#This Row],[Profit]]</f>
        <v>6300</v>
      </c>
      <c r="N25" t="s">
        <v>47</v>
      </c>
      <c r="O25" t="str">
        <f t="shared" si="4"/>
        <v>Lagos</v>
      </c>
      <c r="P25" t="str">
        <f t="shared" si="5"/>
        <v>Ayo Kunle</v>
      </c>
      <c r="Q25" t="s">
        <v>19</v>
      </c>
    </row>
    <row r="26" spans="1:17" x14ac:dyDescent="0.25">
      <c r="A26" t="s">
        <v>57</v>
      </c>
      <c r="B26" s="10">
        <v>46047</v>
      </c>
      <c r="C26" t="s">
        <v>31</v>
      </c>
      <c r="D26" t="s">
        <v>16</v>
      </c>
      <c r="E26" t="s">
        <v>41</v>
      </c>
      <c r="F26" t="str">
        <f t="shared" si="0"/>
        <v>Pepsi</v>
      </c>
      <c r="G26" t="str">
        <f t="shared" si="1"/>
        <v>Soft Drink</v>
      </c>
      <c r="H26">
        <v>34</v>
      </c>
      <c r="I26" s="3">
        <f t="shared" si="2"/>
        <v>480</v>
      </c>
      <c r="J26" s="3">
        <f>Table1[[#This Row],[Quality]]*Table1[[#This Row],[Unit Price]]</f>
        <v>16320</v>
      </c>
      <c r="K26" s="3">
        <f t="shared" si="3"/>
        <v>360</v>
      </c>
      <c r="L26" s="3">
        <v>6700</v>
      </c>
      <c r="M26" s="3">
        <f>Table1[[#This Row],[Sales]]-Table1[[#This Row],[Profit]]</f>
        <v>9620</v>
      </c>
      <c r="N26" t="s">
        <v>47</v>
      </c>
      <c r="O26" t="str">
        <f t="shared" si="4"/>
        <v>Lagos</v>
      </c>
      <c r="P26" t="str">
        <f t="shared" si="5"/>
        <v>Ayo Kunle</v>
      </c>
      <c r="Q26" t="s">
        <v>53</v>
      </c>
    </row>
    <row r="27" spans="1:17" x14ac:dyDescent="0.25">
      <c r="A27" t="s">
        <v>57</v>
      </c>
      <c r="B27" s="10">
        <v>46048</v>
      </c>
      <c r="C27" t="s">
        <v>31</v>
      </c>
      <c r="D27" t="s">
        <v>16</v>
      </c>
      <c r="E27" t="s">
        <v>40</v>
      </c>
      <c r="F27" t="str">
        <f t="shared" si="0"/>
        <v>Maltina</v>
      </c>
      <c r="G27" t="str">
        <f t="shared" si="1"/>
        <v>Malt Drink</v>
      </c>
      <c r="H27">
        <v>56</v>
      </c>
      <c r="I27" s="3">
        <f t="shared" si="2"/>
        <v>650</v>
      </c>
      <c r="J27" s="3">
        <f>Table1[[#This Row],[Quality]]*Table1[[#This Row],[Unit Price]]</f>
        <v>36400</v>
      </c>
      <c r="K27" s="3">
        <f t="shared" si="3"/>
        <v>500</v>
      </c>
      <c r="L27" s="3">
        <v>8000</v>
      </c>
      <c r="M27" s="3">
        <f>Table1[[#This Row],[Sales]]-Table1[[#This Row],[Profit]]</f>
        <v>28400</v>
      </c>
      <c r="N27" t="s">
        <v>48</v>
      </c>
      <c r="O27" t="str">
        <f t="shared" si="4"/>
        <v>Kano</v>
      </c>
      <c r="P27" t="str">
        <f t="shared" si="5"/>
        <v>Abdullahi Yahaya</v>
      </c>
      <c r="Q27" t="s">
        <v>53</v>
      </c>
    </row>
    <row r="28" spans="1:17" x14ac:dyDescent="0.25">
      <c r="A28" t="s">
        <v>57</v>
      </c>
      <c r="B28" s="10">
        <v>46049</v>
      </c>
      <c r="C28" t="s">
        <v>31</v>
      </c>
      <c r="D28" t="s">
        <v>16</v>
      </c>
      <c r="E28" t="s">
        <v>46</v>
      </c>
      <c r="F28" t="str">
        <f t="shared" si="0"/>
        <v>Fearless</v>
      </c>
      <c r="G28" t="str">
        <f t="shared" si="1"/>
        <v>Energy Drink</v>
      </c>
      <c r="H28">
        <v>78</v>
      </c>
      <c r="I28" s="3">
        <f t="shared" si="2"/>
        <v>700</v>
      </c>
      <c r="J28" s="3">
        <f>Table1[[#This Row],[Quality]]*Table1[[#This Row],[Unit Price]]</f>
        <v>54600</v>
      </c>
      <c r="K28" s="3">
        <f t="shared" si="3"/>
        <v>540</v>
      </c>
      <c r="L28" s="3">
        <v>15600</v>
      </c>
      <c r="M28" s="3">
        <f>Table1[[#This Row],[Sales]]-Table1[[#This Row],[Profit]]</f>
        <v>39000</v>
      </c>
      <c r="N28" t="s">
        <v>48</v>
      </c>
      <c r="O28" t="str">
        <f t="shared" si="4"/>
        <v>Kano</v>
      </c>
      <c r="P28" t="str">
        <f t="shared" si="5"/>
        <v>Abdullahi Yahaya</v>
      </c>
      <c r="Q28" t="s">
        <v>53</v>
      </c>
    </row>
    <row r="29" spans="1:17" x14ac:dyDescent="0.25">
      <c r="A29" t="s">
        <v>58</v>
      </c>
      <c r="B29" s="10">
        <v>46050</v>
      </c>
      <c r="C29" t="s">
        <v>26</v>
      </c>
      <c r="D29" t="s">
        <v>39</v>
      </c>
      <c r="E29" t="s">
        <v>40</v>
      </c>
      <c r="F29" t="str">
        <f t="shared" si="0"/>
        <v>Maltina</v>
      </c>
      <c r="G29" t="str">
        <f t="shared" si="1"/>
        <v>Malt Drink</v>
      </c>
      <c r="H29">
        <v>90</v>
      </c>
      <c r="I29" s="3">
        <f t="shared" si="2"/>
        <v>650</v>
      </c>
      <c r="J29" s="3">
        <f>Table1[[#This Row],[Quality]]*Table1[[#This Row],[Unit Price]]</f>
        <v>58500</v>
      </c>
      <c r="K29" s="3">
        <f t="shared" si="3"/>
        <v>500</v>
      </c>
      <c r="L29" s="3">
        <v>17000</v>
      </c>
      <c r="M29" s="3">
        <f>Table1[[#This Row],[Sales]]-Table1[[#This Row],[Profit]]</f>
        <v>41500</v>
      </c>
      <c r="N29" t="s">
        <v>48</v>
      </c>
      <c r="O29" t="str">
        <f t="shared" si="4"/>
        <v>Kano</v>
      </c>
      <c r="P29" t="str">
        <f t="shared" si="5"/>
        <v>Abdullahi Yahaya</v>
      </c>
      <c r="Q29" t="s">
        <v>52</v>
      </c>
    </row>
    <row r="30" spans="1:17" x14ac:dyDescent="0.25">
      <c r="A30" t="s">
        <v>58</v>
      </c>
      <c r="B30" s="10">
        <v>46051</v>
      </c>
      <c r="C30" t="s">
        <v>26</v>
      </c>
      <c r="D30" t="s">
        <v>39</v>
      </c>
      <c r="E30" t="s">
        <v>42</v>
      </c>
      <c r="F30" t="str">
        <f t="shared" si="0"/>
        <v>Coca-Cola</v>
      </c>
      <c r="G30" t="str">
        <f t="shared" si="1"/>
        <v>Soft Drink</v>
      </c>
      <c r="H30">
        <v>100</v>
      </c>
      <c r="I30" s="3">
        <f t="shared" si="2"/>
        <v>450</v>
      </c>
      <c r="J30" s="3">
        <f>Table1[[#This Row],[Quality]]*Table1[[#This Row],[Unit Price]]</f>
        <v>45000</v>
      </c>
      <c r="K30" s="3">
        <f t="shared" si="3"/>
        <v>340</v>
      </c>
      <c r="L30" s="3">
        <v>20000</v>
      </c>
      <c r="M30" s="3">
        <f>Table1[[#This Row],[Sales]]-Table1[[#This Row],[Profit]]</f>
        <v>25000</v>
      </c>
      <c r="N30" t="s">
        <v>48</v>
      </c>
      <c r="O30" t="str">
        <f t="shared" si="4"/>
        <v>Kano</v>
      </c>
      <c r="P30" t="str">
        <f t="shared" si="5"/>
        <v>Abdullahi Yahaya</v>
      </c>
      <c r="Q30" t="s">
        <v>52</v>
      </c>
    </row>
    <row r="31" spans="1:17" x14ac:dyDescent="0.25">
      <c r="A31" t="s">
        <v>58</v>
      </c>
      <c r="B31" s="10">
        <v>46052</v>
      </c>
      <c r="C31" t="s">
        <v>26</v>
      </c>
      <c r="D31" t="s">
        <v>39</v>
      </c>
      <c r="E31" t="s">
        <v>46</v>
      </c>
      <c r="F31" t="str">
        <f t="shared" si="0"/>
        <v>Fearless</v>
      </c>
      <c r="G31" t="str">
        <f t="shared" si="1"/>
        <v>Energy Drink</v>
      </c>
      <c r="H31">
        <v>12</v>
      </c>
      <c r="I31" s="3">
        <f t="shared" si="2"/>
        <v>700</v>
      </c>
      <c r="J31" s="3">
        <f>Table1[[#This Row],[Quality]]*Table1[[#This Row],[Unit Price]]</f>
        <v>8400</v>
      </c>
      <c r="K31" s="3">
        <f t="shared" si="3"/>
        <v>540</v>
      </c>
      <c r="L31" s="3">
        <v>2000</v>
      </c>
      <c r="M31" s="3">
        <f>Table1[[#This Row],[Sales]]-Table1[[#This Row],[Profit]]</f>
        <v>6400</v>
      </c>
      <c r="N31" t="s">
        <v>49</v>
      </c>
      <c r="O31" t="str">
        <f t="shared" si="4"/>
        <v>Abuja</v>
      </c>
      <c r="P31" t="str">
        <f t="shared" si="5"/>
        <v>Micheal John</v>
      </c>
      <c r="Q31" t="s">
        <v>52</v>
      </c>
    </row>
    <row r="32" spans="1:17" x14ac:dyDescent="0.25">
      <c r="A32" t="s">
        <v>59</v>
      </c>
      <c r="B32" s="10">
        <v>46053</v>
      </c>
      <c r="C32" t="s">
        <v>27</v>
      </c>
      <c r="D32" t="s">
        <v>16</v>
      </c>
      <c r="E32" t="s">
        <v>42</v>
      </c>
      <c r="F32" t="str">
        <f t="shared" si="0"/>
        <v>Coca-Cola</v>
      </c>
      <c r="G32" t="str">
        <f t="shared" si="1"/>
        <v>Soft Drink</v>
      </c>
      <c r="H32">
        <v>100</v>
      </c>
      <c r="I32" s="3">
        <f t="shared" si="2"/>
        <v>450</v>
      </c>
      <c r="J32" s="3">
        <f>Table1[[#This Row],[Quality]]*Table1[[#This Row],[Unit Price]]</f>
        <v>45000</v>
      </c>
      <c r="K32" s="3">
        <f t="shared" si="3"/>
        <v>340</v>
      </c>
      <c r="L32" s="3">
        <v>16000</v>
      </c>
      <c r="M32" s="3">
        <f>Table1[[#This Row],[Sales]]-Table1[[#This Row],[Profit]]</f>
        <v>29000</v>
      </c>
      <c r="N32" t="s">
        <v>49</v>
      </c>
      <c r="O32" t="str">
        <f t="shared" si="4"/>
        <v>Abuja</v>
      </c>
      <c r="P32" t="str">
        <f t="shared" si="5"/>
        <v>Micheal John</v>
      </c>
      <c r="Q32" t="s">
        <v>53</v>
      </c>
    </row>
    <row r="33" spans="1:17" x14ac:dyDescent="0.25">
      <c r="A33" t="s">
        <v>59</v>
      </c>
      <c r="B33" s="10">
        <v>46054</v>
      </c>
      <c r="C33" t="s">
        <v>27</v>
      </c>
      <c r="D33" t="s">
        <v>16</v>
      </c>
      <c r="E33" t="s">
        <v>41</v>
      </c>
      <c r="F33" t="str">
        <f t="shared" si="0"/>
        <v>Pepsi</v>
      </c>
      <c r="G33" t="str">
        <f t="shared" si="1"/>
        <v>Soft Drink</v>
      </c>
      <c r="H33">
        <v>23</v>
      </c>
      <c r="I33" s="3">
        <f t="shared" si="2"/>
        <v>480</v>
      </c>
      <c r="J33" s="3">
        <f>Table1[[#This Row],[Quality]]*Table1[[#This Row],[Unit Price]]</f>
        <v>11040</v>
      </c>
      <c r="K33" s="3">
        <f t="shared" si="3"/>
        <v>360</v>
      </c>
      <c r="L33" s="3">
        <v>5000</v>
      </c>
      <c r="M33" s="3">
        <f>Table1[[#This Row],[Sales]]-Table1[[#This Row],[Profit]]</f>
        <v>6040</v>
      </c>
      <c r="N33" t="s">
        <v>49</v>
      </c>
      <c r="O33" t="str">
        <f t="shared" si="4"/>
        <v>Abuja</v>
      </c>
      <c r="P33" t="str">
        <f t="shared" si="5"/>
        <v>Micheal John</v>
      </c>
      <c r="Q33" t="s">
        <v>53</v>
      </c>
    </row>
    <row r="34" spans="1:17" x14ac:dyDescent="0.25">
      <c r="A34" t="s">
        <v>59</v>
      </c>
      <c r="B34" s="10">
        <v>46055</v>
      </c>
      <c r="C34" t="s">
        <v>27</v>
      </c>
      <c r="D34" t="s">
        <v>16</v>
      </c>
      <c r="E34" t="s">
        <v>46</v>
      </c>
      <c r="F34" t="str">
        <f t="shared" ref="F34:F65" si="6">IF(E34="7Up 50cl","7up",IF(E34="Coca-Cola 50cl","Coca-Cola",IF(E34="Fanta Orange","Coca-Cola",IF(E34="Fearless Energy","Fearless",IF(E34="Maltina Can","Maltina",IF(E34="Monster Energy","Monster",IF(E34="Pepsi 50cl","Pepsi",IF(E34="Sprite 50cl","Coca-Cola"))))))))</f>
        <v>Fearless</v>
      </c>
      <c r="G34" t="str">
        <f t="shared" ref="G34:G65" si="7">IF(F34="7up","Soft Drink",IF(F34="Coca-Cola","Soft Drink",IF(F34="Fearless","Energy Drink",IF(F34="Maltina","Malt Drink",IF(F34="Monster","Energy Drink",IF(F34="Pepsi","Soft Drink"))))))</f>
        <v>Energy Drink</v>
      </c>
      <c r="H34">
        <v>45</v>
      </c>
      <c r="I34" s="3">
        <f t="shared" ref="I34:I65" si="8">IF(E34="Sprite 50cl",470,IF(E34="Coca-Cola 50cl",500,IF(E34="Fanta Orange",450,IF(E34="Fearless Energy",700,IF(E34="Maltina Can",650,IF(E34="Monster Energy",900,IF(E34="Pepsi 50cl",480,IF(E34="Sprite 50cl",470,IF(E34="7up 50cl",460)))))))))</f>
        <v>700</v>
      </c>
      <c r="J34" s="3">
        <f>Table1[[#This Row],[Quality]]*Table1[[#This Row],[Unit Price]]</f>
        <v>31500</v>
      </c>
      <c r="K34" s="3">
        <f t="shared" ref="K34:K65" si="9">IF(I34=470,350,IF(I34=480,360,IF(I34=900,720,IF(I34=650,500,IF(I34=700,540,IF(I34=450,340,IF(I34=500,380,IF(I34=460,345))))))))</f>
        <v>540</v>
      </c>
      <c r="L34" s="3">
        <v>6700</v>
      </c>
      <c r="M34" s="3">
        <f>Table1[[#This Row],[Sales]]-Table1[[#This Row],[Profit]]</f>
        <v>24800</v>
      </c>
      <c r="N34" t="s">
        <v>49</v>
      </c>
      <c r="O34" t="str">
        <f t="shared" ref="O34:O65" si="10">IF(N34="South South","Port Harcourt",IF(N34="South East","Anambra",IF(N34="North Central","Abuja",IF(N34="North West","Kano",IF(N34="North East","Gombe",IF(N34="South West","Lagos"))))))</f>
        <v>Abuja</v>
      </c>
      <c r="P34" t="str">
        <f t="shared" ref="P34:P65" si="11">IF(O34="Abuja","Micheal John",IF(O34="Anambra","Emmanuel Jonathan",IF(O34="Gombe","Isah Musa",IF(O34="Kano","Abdullahi Yahaya",IF(O34="Lagos","Ayo Kunle",IF(O34="Port Harcourt","Bella Godwin"))))))</f>
        <v>Micheal John</v>
      </c>
      <c r="Q34" t="s">
        <v>53</v>
      </c>
    </row>
    <row r="35" spans="1:17" x14ac:dyDescent="0.25">
      <c r="A35" t="s">
        <v>60</v>
      </c>
      <c r="B35" s="10">
        <v>46056</v>
      </c>
      <c r="C35" t="s">
        <v>31</v>
      </c>
      <c r="D35" t="s">
        <v>16</v>
      </c>
      <c r="E35" t="s">
        <v>44</v>
      </c>
      <c r="F35" t="str">
        <f t="shared" si="6"/>
        <v>7up</v>
      </c>
      <c r="G35" t="str">
        <f t="shared" si="7"/>
        <v>Soft Drink</v>
      </c>
      <c r="H35">
        <v>67</v>
      </c>
      <c r="I35" s="3">
        <f t="shared" si="8"/>
        <v>460</v>
      </c>
      <c r="J35" s="3">
        <f>Table1[[#This Row],[Quality]]*Table1[[#This Row],[Unit Price]]</f>
        <v>30820</v>
      </c>
      <c r="K35" s="3">
        <f t="shared" si="9"/>
        <v>345</v>
      </c>
      <c r="L35" s="3">
        <v>6900</v>
      </c>
      <c r="M35" s="3">
        <f>Table1[[#This Row],[Sales]]-Table1[[#This Row],[Profit]]</f>
        <v>23920</v>
      </c>
      <c r="N35" t="s">
        <v>49</v>
      </c>
      <c r="O35" t="str">
        <f t="shared" si="10"/>
        <v>Abuja</v>
      </c>
      <c r="P35" t="str">
        <f t="shared" si="11"/>
        <v>Micheal John</v>
      </c>
      <c r="Q35" t="s">
        <v>53</v>
      </c>
    </row>
    <row r="36" spans="1:17" x14ac:dyDescent="0.25">
      <c r="A36" t="s">
        <v>60</v>
      </c>
      <c r="B36" s="10">
        <v>46057</v>
      </c>
      <c r="C36" t="s">
        <v>31</v>
      </c>
      <c r="D36" t="s">
        <v>16</v>
      </c>
      <c r="E36" t="s">
        <v>46</v>
      </c>
      <c r="F36" t="str">
        <f t="shared" si="6"/>
        <v>Fearless</v>
      </c>
      <c r="G36" t="str">
        <f t="shared" si="7"/>
        <v>Energy Drink</v>
      </c>
      <c r="H36">
        <v>89</v>
      </c>
      <c r="I36" s="3">
        <f t="shared" si="8"/>
        <v>700</v>
      </c>
      <c r="J36" s="3">
        <f>Table1[[#This Row],[Quality]]*Table1[[#This Row],[Unit Price]]</f>
        <v>62300</v>
      </c>
      <c r="K36" s="3">
        <f t="shared" si="9"/>
        <v>540</v>
      </c>
      <c r="L36" s="3">
        <v>20000</v>
      </c>
      <c r="M36" s="3">
        <f>Table1[[#This Row],[Sales]]-Table1[[#This Row],[Profit]]</f>
        <v>42300</v>
      </c>
      <c r="N36" t="s">
        <v>18</v>
      </c>
      <c r="O36" t="str">
        <f t="shared" si="10"/>
        <v>Port Harcourt</v>
      </c>
      <c r="P36" t="str">
        <f t="shared" si="11"/>
        <v>Bella Godwin</v>
      </c>
      <c r="Q36" t="s">
        <v>53</v>
      </c>
    </row>
    <row r="37" spans="1:17" x14ac:dyDescent="0.25">
      <c r="A37" t="s">
        <v>60</v>
      </c>
      <c r="B37" s="10">
        <v>46058</v>
      </c>
      <c r="C37" t="s">
        <v>31</v>
      </c>
      <c r="D37" t="s">
        <v>16</v>
      </c>
      <c r="E37" t="s">
        <v>40</v>
      </c>
      <c r="F37" t="str">
        <f t="shared" si="6"/>
        <v>Maltina</v>
      </c>
      <c r="G37" t="str">
        <f t="shared" si="7"/>
        <v>Malt Drink</v>
      </c>
      <c r="H37">
        <v>100</v>
      </c>
      <c r="I37" s="3">
        <f t="shared" si="8"/>
        <v>650</v>
      </c>
      <c r="J37" s="3">
        <f>Table1[[#This Row],[Quality]]*Table1[[#This Row],[Unit Price]]</f>
        <v>65000</v>
      </c>
      <c r="K37" s="3">
        <f t="shared" si="9"/>
        <v>500</v>
      </c>
      <c r="L37" s="3">
        <v>19500</v>
      </c>
      <c r="M37" s="3">
        <f>Table1[[#This Row],[Sales]]-Table1[[#This Row],[Profit]]</f>
        <v>45500</v>
      </c>
      <c r="N37" t="s">
        <v>18</v>
      </c>
      <c r="O37" t="str">
        <f t="shared" si="10"/>
        <v>Port Harcourt</v>
      </c>
      <c r="P37" t="str">
        <f t="shared" si="11"/>
        <v>Bella Godwin</v>
      </c>
      <c r="Q37" t="s">
        <v>19</v>
      </c>
    </row>
    <row r="38" spans="1:17" x14ac:dyDescent="0.25">
      <c r="A38" t="s">
        <v>60</v>
      </c>
      <c r="B38" s="10">
        <v>46059</v>
      </c>
      <c r="C38" t="s">
        <v>31</v>
      </c>
      <c r="D38" t="s">
        <v>16</v>
      </c>
      <c r="E38" t="s">
        <v>17</v>
      </c>
      <c r="F38" t="str">
        <f t="shared" si="6"/>
        <v>Coca-Cola</v>
      </c>
      <c r="G38" t="str">
        <f t="shared" si="7"/>
        <v>Soft Drink</v>
      </c>
      <c r="H38">
        <v>100</v>
      </c>
      <c r="I38" s="3">
        <f t="shared" si="8"/>
        <v>470</v>
      </c>
      <c r="J38" s="3">
        <f>Table1[[#This Row],[Quality]]*Table1[[#This Row],[Unit Price]]</f>
        <v>47000</v>
      </c>
      <c r="K38" s="3">
        <f t="shared" si="9"/>
        <v>350</v>
      </c>
      <c r="L38" s="3">
        <v>18500</v>
      </c>
      <c r="M38" s="3">
        <f>Table1[[#This Row],[Sales]]-Table1[[#This Row],[Profit]]</f>
        <v>28500</v>
      </c>
      <c r="N38" t="s">
        <v>18</v>
      </c>
      <c r="O38" t="str">
        <f t="shared" si="10"/>
        <v>Port Harcourt</v>
      </c>
      <c r="P38" t="str">
        <f t="shared" si="11"/>
        <v>Bella Godwin</v>
      </c>
      <c r="Q38" t="s">
        <v>19</v>
      </c>
    </row>
    <row r="39" spans="1:17" x14ac:dyDescent="0.25">
      <c r="A39" t="s">
        <v>61</v>
      </c>
      <c r="B39" s="10">
        <v>46060</v>
      </c>
      <c r="C39" t="s">
        <v>30</v>
      </c>
      <c r="D39" t="s">
        <v>16</v>
      </c>
      <c r="E39" t="s">
        <v>42</v>
      </c>
      <c r="F39" t="str">
        <f t="shared" si="6"/>
        <v>Coca-Cola</v>
      </c>
      <c r="G39" t="str">
        <f t="shared" si="7"/>
        <v>Soft Drink</v>
      </c>
      <c r="H39">
        <v>34</v>
      </c>
      <c r="I39" s="3">
        <f t="shared" si="8"/>
        <v>450</v>
      </c>
      <c r="J39" s="3">
        <f>Table1[[#This Row],[Quality]]*Table1[[#This Row],[Unit Price]]</f>
        <v>15300</v>
      </c>
      <c r="K39" s="3">
        <f t="shared" si="9"/>
        <v>340</v>
      </c>
      <c r="L39" s="3">
        <v>4500</v>
      </c>
      <c r="M39" s="3">
        <f>Table1[[#This Row],[Sales]]-Table1[[#This Row],[Profit]]</f>
        <v>10800</v>
      </c>
      <c r="N39" t="s">
        <v>18</v>
      </c>
      <c r="O39" t="str">
        <f t="shared" si="10"/>
        <v>Port Harcourt</v>
      </c>
      <c r="P39" t="str">
        <f t="shared" si="11"/>
        <v>Bella Godwin</v>
      </c>
      <c r="Q39" t="s">
        <v>19</v>
      </c>
    </row>
    <row r="40" spans="1:17" x14ac:dyDescent="0.25">
      <c r="A40" t="s">
        <v>61</v>
      </c>
      <c r="B40" s="10">
        <v>46061</v>
      </c>
      <c r="C40" t="s">
        <v>30</v>
      </c>
      <c r="D40" t="s">
        <v>16</v>
      </c>
      <c r="E40" t="s">
        <v>46</v>
      </c>
      <c r="F40" t="str">
        <f t="shared" si="6"/>
        <v>Fearless</v>
      </c>
      <c r="G40" t="str">
        <f t="shared" si="7"/>
        <v>Energy Drink</v>
      </c>
      <c r="H40">
        <v>56</v>
      </c>
      <c r="I40" s="3">
        <f t="shared" si="8"/>
        <v>700</v>
      </c>
      <c r="J40" s="3">
        <f>Table1[[#This Row],[Quality]]*Table1[[#This Row],[Unit Price]]</f>
        <v>39200</v>
      </c>
      <c r="K40" s="3">
        <f t="shared" si="9"/>
        <v>540</v>
      </c>
      <c r="L40" s="3">
        <v>6700</v>
      </c>
      <c r="M40" s="3">
        <f>Table1[[#This Row],[Sales]]-Table1[[#This Row],[Profit]]</f>
        <v>32500</v>
      </c>
      <c r="N40" t="s">
        <v>18</v>
      </c>
      <c r="O40" t="str">
        <f t="shared" si="10"/>
        <v>Port Harcourt</v>
      </c>
      <c r="P40" t="str">
        <f t="shared" si="11"/>
        <v>Bella Godwin</v>
      </c>
      <c r="Q40" t="s">
        <v>19</v>
      </c>
    </row>
    <row r="41" spans="1:17" x14ac:dyDescent="0.25">
      <c r="A41" t="s">
        <v>63</v>
      </c>
      <c r="B41" s="10">
        <v>46062</v>
      </c>
      <c r="C41" t="s">
        <v>15</v>
      </c>
      <c r="D41" t="s">
        <v>37</v>
      </c>
      <c r="E41" t="s">
        <v>45</v>
      </c>
      <c r="F41" t="str">
        <f t="shared" si="6"/>
        <v>Coca-Cola</v>
      </c>
      <c r="G41" t="str">
        <f t="shared" si="7"/>
        <v>Soft Drink</v>
      </c>
      <c r="H41">
        <v>78</v>
      </c>
      <c r="I41" s="3">
        <f t="shared" si="8"/>
        <v>500</v>
      </c>
      <c r="J41" s="3">
        <f>Table1[[#This Row],[Quality]]*Table1[[#This Row],[Unit Price]]</f>
        <v>39000</v>
      </c>
      <c r="K41" s="3">
        <f t="shared" si="9"/>
        <v>380</v>
      </c>
      <c r="L41" s="3">
        <v>6700</v>
      </c>
      <c r="M41" s="3">
        <f>Table1[[#This Row],[Sales]]-Table1[[#This Row],[Profit]]</f>
        <v>32300</v>
      </c>
      <c r="N41" t="s">
        <v>18</v>
      </c>
      <c r="O41" t="str">
        <f t="shared" si="10"/>
        <v>Port Harcourt</v>
      </c>
      <c r="P41" t="str">
        <f t="shared" si="11"/>
        <v>Bella Godwin</v>
      </c>
      <c r="Q41" t="s">
        <v>19</v>
      </c>
    </row>
    <row r="42" spans="1:17" x14ac:dyDescent="0.25">
      <c r="A42" t="s">
        <v>63</v>
      </c>
      <c r="B42" s="10">
        <v>46063</v>
      </c>
      <c r="C42" t="s">
        <v>15</v>
      </c>
      <c r="D42" t="s">
        <v>37</v>
      </c>
      <c r="E42" t="s">
        <v>44</v>
      </c>
      <c r="F42" t="str">
        <f t="shared" si="6"/>
        <v>7up</v>
      </c>
      <c r="G42" t="str">
        <f t="shared" si="7"/>
        <v>Soft Drink</v>
      </c>
      <c r="H42">
        <v>90</v>
      </c>
      <c r="I42" s="3">
        <f t="shared" si="8"/>
        <v>460</v>
      </c>
      <c r="J42" s="3">
        <f>Table1[[#This Row],[Quality]]*Table1[[#This Row],[Unit Price]]</f>
        <v>41400</v>
      </c>
      <c r="K42" s="3">
        <f t="shared" si="9"/>
        <v>345</v>
      </c>
      <c r="L42" s="3">
        <v>17000</v>
      </c>
      <c r="M42" s="3">
        <f>Table1[[#This Row],[Sales]]-Table1[[#This Row],[Profit]]</f>
        <v>24400</v>
      </c>
      <c r="N42" t="s">
        <v>18</v>
      </c>
      <c r="O42" t="str">
        <f t="shared" si="10"/>
        <v>Port Harcourt</v>
      </c>
      <c r="P42" t="str">
        <f t="shared" si="11"/>
        <v>Bella Godwin</v>
      </c>
      <c r="Q42" t="s">
        <v>19</v>
      </c>
    </row>
    <row r="43" spans="1:17" x14ac:dyDescent="0.25">
      <c r="A43" t="s">
        <v>63</v>
      </c>
      <c r="B43" s="10">
        <v>46064</v>
      </c>
      <c r="C43" t="s">
        <v>15</v>
      </c>
      <c r="D43" t="s">
        <v>37</v>
      </c>
      <c r="E43" t="s">
        <v>17</v>
      </c>
      <c r="F43" t="str">
        <f t="shared" si="6"/>
        <v>Coca-Cola</v>
      </c>
      <c r="G43" t="str">
        <f t="shared" si="7"/>
        <v>Soft Drink</v>
      </c>
      <c r="H43">
        <v>100</v>
      </c>
      <c r="I43" s="3">
        <f t="shared" si="8"/>
        <v>470</v>
      </c>
      <c r="J43" s="3">
        <f>Table1[[#This Row],[Quality]]*Table1[[#This Row],[Unit Price]]</f>
        <v>47000</v>
      </c>
      <c r="K43" s="3">
        <f t="shared" si="9"/>
        <v>350</v>
      </c>
      <c r="L43" s="3">
        <v>12000</v>
      </c>
      <c r="M43" s="3">
        <f>Table1[[#This Row],[Sales]]-Table1[[#This Row],[Profit]]</f>
        <v>35000</v>
      </c>
      <c r="N43" t="s">
        <v>18</v>
      </c>
      <c r="O43" t="str">
        <f t="shared" si="10"/>
        <v>Port Harcourt</v>
      </c>
      <c r="P43" t="str">
        <f t="shared" si="11"/>
        <v>Bella Godwin</v>
      </c>
      <c r="Q43" t="s">
        <v>19</v>
      </c>
    </row>
    <row r="44" spans="1:17" x14ac:dyDescent="0.25">
      <c r="A44" t="s">
        <v>63</v>
      </c>
      <c r="B44" s="10">
        <v>46065</v>
      </c>
      <c r="C44" t="s">
        <v>15</v>
      </c>
      <c r="D44" t="s">
        <v>37</v>
      </c>
      <c r="E44" t="s">
        <v>41</v>
      </c>
      <c r="F44" t="str">
        <f t="shared" si="6"/>
        <v>Pepsi</v>
      </c>
      <c r="G44" t="str">
        <f t="shared" si="7"/>
        <v>Soft Drink</v>
      </c>
      <c r="H44">
        <v>100</v>
      </c>
      <c r="I44" s="3">
        <f t="shared" si="8"/>
        <v>480</v>
      </c>
      <c r="J44" s="3">
        <f>Table1[[#This Row],[Quality]]*Table1[[#This Row],[Unit Price]]</f>
        <v>48000</v>
      </c>
      <c r="K44" s="3">
        <f t="shared" si="9"/>
        <v>360</v>
      </c>
      <c r="L44" s="3">
        <v>16000</v>
      </c>
      <c r="M44" s="3">
        <f>Table1[[#This Row],[Sales]]-Table1[[#This Row],[Profit]]</f>
        <v>32000</v>
      </c>
      <c r="N44" t="s">
        <v>18</v>
      </c>
      <c r="O44" t="str">
        <f t="shared" si="10"/>
        <v>Port Harcourt</v>
      </c>
      <c r="P44" t="str">
        <f t="shared" si="11"/>
        <v>Bella Godwin</v>
      </c>
      <c r="Q44" t="s">
        <v>19</v>
      </c>
    </row>
    <row r="45" spans="1:17" x14ac:dyDescent="0.25">
      <c r="A45" t="s">
        <v>62</v>
      </c>
      <c r="B45" s="10">
        <v>46066</v>
      </c>
      <c r="C45" t="s">
        <v>32</v>
      </c>
      <c r="D45" t="s">
        <v>16</v>
      </c>
      <c r="E45" t="s">
        <v>43</v>
      </c>
      <c r="F45" t="str">
        <f t="shared" si="6"/>
        <v>Monster</v>
      </c>
      <c r="G45" t="str">
        <f t="shared" si="7"/>
        <v>Energy Drink</v>
      </c>
      <c r="H45">
        <v>100</v>
      </c>
      <c r="I45" s="3">
        <f t="shared" si="8"/>
        <v>900</v>
      </c>
      <c r="J45" s="3">
        <f>Table1[[#This Row],[Quality]]*Table1[[#This Row],[Unit Price]]</f>
        <v>90000</v>
      </c>
      <c r="K45" s="3">
        <f t="shared" si="9"/>
        <v>720</v>
      </c>
      <c r="L45" s="3">
        <v>12000</v>
      </c>
      <c r="M45" s="3">
        <f>Table1[[#This Row],[Sales]]-Table1[[#This Row],[Profit]]</f>
        <v>78000</v>
      </c>
      <c r="N45" t="s">
        <v>50</v>
      </c>
      <c r="O45" t="str">
        <f t="shared" si="10"/>
        <v>Gombe</v>
      </c>
      <c r="P45" t="str">
        <f t="shared" si="11"/>
        <v>Isah Musa</v>
      </c>
      <c r="Q45" t="s">
        <v>19</v>
      </c>
    </row>
    <row r="46" spans="1:17" x14ac:dyDescent="0.25">
      <c r="A46" t="s">
        <v>62</v>
      </c>
      <c r="B46" s="10">
        <v>46067</v>
      </c>
      <c r="C46" t="s">
        <v>32</v>
      </c>
      <c r="D46" t="s">
        <v>16</v>
      </c>
      <c r="E46" t="s">
        <v>46</v>
      </c>
      <c r="F46" t="str">
        <f t="shared" si="6"/>
        <v>Fearless</v>
      </c>
      <c r="G46" t="str">
        <f t="shared" si="7"/>
        <v>Energy Drink</v>
      </c>
      <c r="H46">
        <v>100</v>
      </c>
      <c r="I46" s="3">
        <f t="shared" si="8"/>
        <v>700</v>
      </c>
      <c r="J46" s="3">
        <f>Table1[[#This Row],[Quality]]*Table1[[#This Row],[Unit Price]]</f>
        <v>70000</v>
      </c>
      <c r="K46" s="3">
        <f t="shared" si="9"/>
        <v>540</v>
      </c>
      <c r="L46" s="3">
        <v>20000</v>
      </c>
      <c r="M46" s="3">
        <f>Table1[[#This Row],[Sales]]-Table1[[#This Row],[Profit]]</f>
        <v>50000</v>
      </c>
      <c r="N46" t="s">
        <v>50</v>
      </c>
      <c r="O46" t="str">
        <f t="shared" si="10"/>
        <v>Gombe</v>
      </c>
      <c r="P46" t="str">
        <f t="shared" si="11"/>
        <v>Isah Musa</v>
      </c>
      <c r="Q46" t="s">
        <v>19</v>
      </c>
    </row>
    <row r="47" spans="1:17" x14ac:dyDescent="0.25">
      <c r="A47" t="s">
        <v>62</v>
      </c>
      <c r="B47" s="10">
        <v>46068</v>
      </c>
      <c r="C47" t="s">
        <v>32</v>
      </c>
      <c r="D47" t="s">
        <v>16</v>
      </c>
      <c r="E47" t="s">
        <v>45</v>
      </c>
      <c r="F47" t="str">
        <f t="shared" si="6"/>
        <v>Coca-Cola</v>
      </c>
      <c r="G47" t="str">
        <f t="shared" si="7"/>
        <v>Soft Drink</v>
      </c>
      <c r="H47">
        <v>100</v>
      </c>
      <c r="I47" s="3">
        <f t="shared" si="8"/>
        <v>500</v>
      </c>
      <c r="J47" s="3">
        <f>Table1[[#This Row],[Quality]]*Table1[[#This Row],[Unit Price]]</f>
        <v>50000</v>
      </c>
      <c r="K47" s="3">
        <f t="shared" si="9"/>
        <v>380</v>
      </c>
      <c r="L47" s="3">
        <v>16000</v>
      </c>
      <c r="M47" s="3">
        <f>Table1[[#This Row],[Sales]]-Table1[[#This Row],[Profit]]</f>
        <v>34000</v>
      </c>
      <c r="N47" t="s">
        <v>50</v>
      </c>
      <c r="O47" t="str">
        <f t="shared" si="10"/>
        <v>Gombe</v>
      </c>
      <c r="P47" t="str">
        <f t="shared" si="11"/>
        <v>Isah Musa</v>
      </c>
      <c r="Q47" t="s">
        <v>19</v>
      </c>
    </row>
    <row r="48" spans="1:17" x14ac:dyDescent="0.25">
      <c r="A48" t="s">
        <v>62</v>
      </c>
      <c r="B48" s="10">
        <v>46069</v>
      </c>
      <c r="C48" t="s">
        <v>32</v>
      </c>
      <c r="D48" t="s">
        <v>16</v>
      </c>
      <c r="E48" t="s">
        <v>44</v>
      </c>
      <c r="F48" t="str">
        <f t="shared" si="6"/>
        <v>7up</v>
      </c>
      <c r="G48" t="str">
        <f t="shared" si="7"/>
        <v>Soft Drink</v>
      </c>
      <c r="H48">
        <v>23</v>
      </c>
      <c r="I48" s="3">
        <f t="shared" si="8"/>
        <v>460</v>
      </c>
      <c r="J48" s="3">
        <f>Table1[[#This Row],[Quality]]*Table1[[#This Row],[Unit Price]]</f>
        <v>10580</v>
      </c>
      <c r="K48" s="3">
        <f t="shared" si="9"/>
        <v>345</v>
      </c>
      <c r="L48" s="3">
        <v>5000</v>
      </c>
      <c r="M48" s="3">
        <f>Table1[[#This Row],[Sales]]-Table1[[#This Row],[Profit]]</f>
        <v>5580</v>
      </c>
      <c r="N48" t="s">
        <v>50</v>
      </c>
      <c r="O48" t="str">
        <f t="shared" si="10"/>
        <v>Gombe</v>
      </c>
      <c r="P48" t="str">
        <f t="shared" si="11"/>
        <v>Isah Musa</v>
      </c>
      <c r="Q48" t="s">
        <v>19</v>
      </c>
    </row>
    <row r="49" spans="1:17" x14ac:dyDescent="0.25">
      <c r="A49" t="s">
        <v>64</v>
      </c>
      <c r="B49" s="10">
        <v>46070</v>
      </c>
      <c r="C49" t="s">
        <v>33</v>
      </c>
      <c r="D49" t="s">
        <v>37</v>
      </c>
      <c r="E49" t="s">
        <v>41</v>
      </c>
      <c r="F49" t="str">
        <f t="shared" si="6"/>
        <v>Pepsi</v>
      </c>
      <c r="G49" t="str">
        <f t="shared" si="7"/>
        <v>Soft Drink</v>
      </c>
      <c r="H49">
        <v>45</v>
      </c>
      <c r="I49" s="3">
        <f t="shared" si="8"/>
        <v>480</v>
      </c>
      <c r="J49" s="3">
        <f>Table1[[#This Row],[Quality]]*Table1[[#This Row],[Unit Price]]</f>
        <v>21600</v>
      </c>
      <c r="K49" s="3">
        <f t="shared" si="9"/>
        <v>360</v>
      </c>
      <c r="L49" s="3">
        <v>1200</v>
      </c>
      <c r="M49" s="3">
        <f>Table1[[#This Row],[Sales]]-Table1[[#This Row],[Profit]]</f>
        <v>20400</v>
      </c>
      <c r="N49" t="s">
        <v>50</v>
      </c>
      <c r="O49" t="str">
        <f t="shared" si="10"/>
        <v>Gombe</v>
      </c>
      <c r="P49" t="str">
        <f t="shared" si="11"/>
        <v>Isah Musa</v>
      </c>
      <c r="Q49" t="s">
        <v>19</v>
      </c>
    </row>
    <row r="50" spans="1:17" x14ac:dyDescent="0.25">
      <c r="A50" t="s">
        <v>64</v>
      </c>
      <c r="B50" s="10">
        <v>46071</v>
      </c>
      <c r="C50" t="s">
        <v>33</v>
      </c>
      <c r="D50" t="s">
        <v>37</v>
      </c>
      <c r="E50" t="s">
        <v>40</v>
      </c>
      <c r="F50" t="str">
        <f t="shared" si="6"/>
        <v>Maltina</v>
      </c>
      <c r="G50" t="str">
        <f t="shared" si="7"/>
        <v>Malt Drink</v>
      </c>
      <c r="H50">
        <v>67</v>
      </c>
      <c r="I50" s="3">
        <f t="shared" si="8"/>
        <v>650</v>
      </c>
      <c r="J50" s="3">
        <f>Table1[[#This Row],[Quality]]*Table1[[#This Row],[Unit Price]]</f>
        <v>43550</v>
      </c>
      <c r="K50" s="3">
        <f t="shared" si="9"/>
        <v>500</v>
      </c>
      <c r="L50" s="3">
        <v>1300</v>
      </c>
      <c r="M50" s="3">
        <f>Table1[[#This Row],[Sales]]-Table1[[#This Row],[Profit]]</f>
        <v>42250</v>
      </c>
      <c r="N50" t="s">
        <v>50</v>
      </c>
      <c r="O50" t="str">
        <f t="shared" si="10"/>
        <v>Gombe</v>
      </c>
      <c r="P50" t="str">
        <f t="shared" si="11"/>
        <v>Isah Musa</v>
      </c>
      <c r="Q50" t="s">
        <v>19</v>
      </c>
    </row>
    <row r="51" spans="1:17" x14ac:dyDescent="0.25">
      <c r="A51" t="s">
        <v>65</v>
      </c>
      <c r="B51" s="10">
        <v>46072</v>
      </c>
      <c r="C51" t="s">
        <v>15</v>
      </c>
      <c r="D51" t="s">
        <v>39</v>
      </c>
      <c r="E51" t="s">
        <v>42</v>
      </c>
      <c r="F51" t="str">
        <f t="shared" si="6"/>
        <v>Coca-Cola</v>
      </c>
      <c r="G51" t="str">
        <f t="shared" si="7"/>
        <v>Soft Drink</v>
      </c>
      <c r="H51">
        <v>89</v>
      </c>
      <c r="I51" s="3">
        <f t="shared" si="8"/>
        <v>450</v>
      </c>
      <c r="J51" s="3">
        <f>Table1[[#This Row],[Quality]]*Table1[[#This Row],[Unit Price]]</f>
        <v>40050</v>
      </c>
      <c r="K51" s="3">
        <f t="shared" si="9"/>
        <v>340</v>
      </c>
      <c r="L51" s="3">
        <v>12700</v>
      </c>
      <c r="M51" s="3">
        <f>Table1[[#This Row],[Sales]]-Table1[[#This Row],[Profit]]</f>
        <v>27350</v>
      </c>
      <c r="N51" t="s">
        <v>51</v>
      </c>
      <c r="O51" t="str">
        <f t="shared" si="10"/>
        <v>Anambra</v>
      </c>
      <c r="P51" t="str">
        <f t="shared" si="11"/>
        <v>Emmanuel Jonathan</v>
      </c>
      <c r="Q51" t="s">
        <v>52</v>
      </c>
    </row>
    <row r="52" spans="1:17" x14ac:dyDescent="0.25">
      <c r="A52" t="s">
        <v>65</v>
      </c>
      <c r="B52" s="10">
        <v>46073</v>
      </c>
      <c r="C52" t="s">
        <v>15</v>
      </c>
      <c r="D52" t="s">
        <v>39</v>
      </c>
      <c r="E52" t="s">
        <v>45</v>
      </c>
      <c r="F52" t="str">
        <f t="shared" si="6"/>
        <v>Coca-Cola</v>
      </c>
      <c r="G52" t="str">
        <f t="shared" si="7"/>
        <v>Soft Drink</v>
      </c>
      <c r="H52">
        <v>34</v>
      </c>
      <c r="I52" s="3">
        <f t="shared" si="8"/>
        <v>500</v>
      </c>
      <c r="J52" s="3">
        <f>Table1[[#This Row],[Quality]]*Table1[[#This Row],[Unit Price]]</f>
        <v>17000</v>
      </c>
      <c r="K52" s="3">
        <f t="shared" si="9"/>
        <v>380</v>
      </c>
      <c r="L52" s="3">
        <v>5600</v>
      </c>
      <c r="M52" s="3">
        <f>Table1[[#This Row],[Sales]]-Table1[[#This Row],[Profit]]</f>
        <v>11400</v>
      </c>
      <c r="N52" t="s">
        <v>51</v>
      </c>
      <c r="O52" t="str">
        <f t="shared" si="10"/>
        <v>Anambra</v>
      </c>
      <c r="P52" t="str">
        <f t="shared" si="11"/>
        <v>Emmanuel Jonathan</v>
      </c>
      <c r="Q52" t="s">
        <v>52</v>
      </c>
    </row>
    <row r="53" spans="1:17" x14ac:dyDescent="0.25">
      <c r="A53" t="s">
        <v>66</v>
      </c>
      <c r="B53" s="10">
        <v>46074</v>
      </c>
      <c r="C53" t="s">
        <v>29</v>
      </c>
      <c r="D53" t="s">
        <v>37</v>
      </c>
      <c r="E53" t="s">
        <v>46</v>
      </c>
      <c r="F53" t="str">
        <f t="shared" si="6"/>
        <v>Fearless</v>
      </c>
      <c r="G53" t="str">
        <f t="shared" si="7"/>
        <v>Energy Drink</v>
      </c>
      <c r="H53">
        <v>29</v>
      </c>
      <c r="I53" s="3">
        <f t="shared" si="8"/>
        <v>700</v>
      </c>
      <c r="J53" s="3">
        <f>Table1[[#This Row],[Quality]]*Table1[[#This Row],[Unit Price]]</f>
        <v>20300</v>
      </c>
      <c r="K53" s="3">
        <f t="shared" si="9"/>
        <v>540</v>
      </c>
      <c r="L53" s="3">
        <v>6000</v>
      </c>
      <c r="M53" s="3">
        <f>Table1[[#This Row],[Sales]]-Table1[[#This Row],[Profit]]</f>
        <v>14300</v>
      </c>
      <c r="N53" t="s">
        <v>51</v>
      </c>
      <c r="O53" t="str">
        <f t="shared" si="10"/>
        <v>Anambra</v>
      </c>
      <c r="P53" t="str">
        <f t="shared" si="11"/>
        <v>Emmanuel Jonathan</v>
      </c>
      <c r="Q53" t="s">
        <v>52</v>
      </c>
    </row>
    <row r="54" spans="1:17" x14ac:dyDescent="0.25">
      <c r="A54" t="s">
        <v>66</v>
      </c>
      <c r="B54" s="10">
        <v>46075</v>
      </c>
      <c r="C54" t="s">
        <v>29</v>
      </c>
      <c r="D54" t="s">
        <v>37</v>
      </c>
      <c r="E54" t="s">
        <v>42</v>
      </c>
      <c r="F54" t="str">
        <f t="shared" si="6"/>
        <v>Coca-Cola</v>
      </c>
      <c r="G54" t="str">
        <f t="shared" si="7"/>
        <v>Soft Drink</v>
      </c>
      <c r="H54">
        <v>76</v>
      </c>
      <c r="I54" s="3">
        <f t="shared" si="8"/>
        <v>450</v>
      </c>
      <c r="J54" s="3">
        <f>Table1[[#This Row],[Quality]]*Table1[[#This Row],[Unit Price]]</f>
        <v>34200</v>
      </c>
      <c r="K54" s="3">
        <f t="shared" si="9"/>
        <v>340</v>
      </c>
      <c r="L54" s="3">
        <v>7800</v>
      </c>
      <c r="M54" s="3">
        <f>Table1[[#This Row],[Sales]]-Table1[[#This Row],[Profit]]</f>
        <v>26400</v>
      </c>
      <c r="N54" t="s">
        <v>51</v>
      </c>
      <c r="O54" t="str">
        <f t="shared" si="10"/>
        <v>Anambra</v>
      </c>
      <c r="P54" t="str">
        <f t="shared" si="11"/>
        <v>Emmanuel Jonathan</v>
      </c>
      <c r="Q54" t="s">
        <v>52</v>
      </c>
    </row>
    <row r="55" spans="1:17" x14ac:dyDescent="0.25">
      <c r="A55" t="s">
        <v>66</v>
      </c>
      <c r="B55" s="10">
        <v>46076</v>
      </c>
      <c r="C55" t="s">
        <v>29</v>
      </c>
      <c r="D55" t="s">
        <v>37</v>
      </c>
      <c r="E55" t="s">
        <v>45</v>
      </c>
      <c r="F55" t="str">
        <f t="shared" si="6"/>
        <v>Coca-Cola</v>
      </c>
      <c r="G55" t="str">
        <f t="shared" si="7"/>
        <v>Soft Drink</v>
      </c>
      <c r="H55">
        <v>54</v>
      </c>
      <c r="I55" s="3">
        <f t="shared" si="8"/>
        <v>500</v>
      </c>
      <c r="J55" s="3">
        <f>Table1[[#This Row],[Quality]]*Table1[[#This Row],[Unit Price]]</f>
        <v>27000</v>
      </c>
      <c r="K55" s="3">
        <f t="shared" si="9"/>
        <v>380</v>
      </c>
      <c r="L55" s="3">
        <v>12000</v>
      </c>
      <c r="M55" s="3">
        <f>Table1[[#This Row],[Sales]]-Table1[[#This Row],[Profit]]</f>
        <v>15000</v>
      </c>
      <c r="N55" t="s">
        <v>51</v>
      </c>
      <c r="O55" t="str">
        <f t="shared" si="10"/>
        <v>Anambra</v>
      </c>
      <c r="P55" t="str">
        <f t="shared" si="11"/>
        <v>Emmanuel Jonathan</v>
      </c>
      <c r="Q55" t="s">
        <v>52</v>
      </c>
    </row>
    <row r="56" spans="1:17" x14ac:dyDescent="0.25">
      <c r="A56" t="s">
        <v>66</v>
      </c>
      <c r="B56" s="10">
        <v>46077</v>
      </c>
      <c r="C56" t="s">
        <v>29</v>
      </c>
      <c r="D56" t="s">
        <v>37</v>
      </c>
      <c r="E56" t="s">
        <v>43</v>
      </c>
      <c r="F56" t="str">
        <f t="shared" si="6"/>
        <v>Monster</v>
      </c>
      <c r="G56" t="str">
        <f t="shared" si="7"/>
        <v>Energy Drink</v>
      </c>
      <c r="H56">
        <v>32</v>
      </c>
      <c r="I56" s="3">
        <f t="shared" si="8"/>
        <v>900</v>
      </c>
      <c r="J56" s="3">
        <f>Table1[[#This Row],[Quality]]*Table1[[#This Row],[Unit Price]]</f>
        <v>28800</v>
      </c>
      <c r="K56" s="3">
        <f t="shared" si="9"/>
        <v>720</v>
      </c>
      <c r="L56" s="3">
        <v>14000</v>
      </c>
      <c r="M56" s="3">
        <f>Table1[[#This Row],[Sales]]-Table1[[#This Row],[Profit]]</f>
        <v>14800</v>
      </c>
      <c r="N56" t="s">
        <v>51</v>
      </c>
      <c r="O56" t="str">
        <f t="shared" si="10"/>
        <v>Anambra</v>
      </c>
      <c r="P56" t="str">
        <f t="shared" si="11"/>
        <v>Emmanuel Jonathan</v>
      </c>
      <c r="Q56" t="s">
        <v>53</v>
      </c>
    </row>
    <row r="57" spans="1:17" x14ac:dyDescent="0.25">
      <c r="A57" t="s">
        <v>67</v>
      </c>
      <c r="B57" s="10">
        <v>46078</v>
      </c>
      <c r="C57" t="s">
        <v>31</v>
      </c>
      <c r="D57" t="s">
        <v>38</v>
      </c>
      <c r="E57" t="s">
        <v>42</v>
      </c>
      <c r="F57" t="str">
        <f t="shared" si="6"/>
        <v>Coca-Cola</v>
      </c>
      <c r="G57" t="str">
        <f t="shared" si="7"/>
        <v>Soft Drink</v>
      </c>
      <c r="H57">
        <v>54</v>
      </c>
      <c r="I57" s="3">
        <f t="shared" si="8"/>
        <v>450</v>
      </c>
      <c r="J57" s="3">
        <f>Table1[[#This Row],[Quality]]*Table1[[#This Row],[Unit Price]]</f>
        <v>24300</v>
      </c>
      <c r="K57" s="3">
        <f t="shared" si="9"/>
        <v>340</v>
      </c>
      <c r="L57" s="3">
        <v>13000</v>
      </c>
      <c r="M57" s="3">
        <f>Table1[[#This Row],[Sales]]-Table1[[#This Row],[Profit]]</f>
        <v>11300</v>
      </c>
      <c r="N57" t="s">
        <v>51</v>
      </c>
      <c r="O57" t="str">
        <f t="shared" si="10"/>
        <v>Anambra</v>
      </c>
      <c r="P57" t="str">
        <f t="shared" si="11"/>
        <v>Emmanuel Jonathan</v>
      </c>
      <c r="Q57" t="s">
        <v>53</v>
      </c>
    </row>
    <row r="58" spans="1:17" x14ac:dyDescent="0.25">
      <c r="A58" t="s">
        <v>67</v>
      </c>
      <c r="B58" s="10">
        <v>46079</v>
      </c>
      <c r="C58" t="s">
        <v>31</v>
      </c>
      <c r="D58" t="s">
        <v>38</v>
      </c>
      <c r="E58" t="s">
        <v>40</v>
      </c>
      <c r="F58" t="str">
        <f t="shared" si="6"/>
        <v>Maltina</v>
      </c>
      <c r="G58" t="str">
        <f t="shared" si="7"/>
        <v>Malt Drink</v>
      </c>
      <c r="H58">
        <v>65</v>
      </c>
      <c r="I58" s="3">
        <f t="shared" si="8"/>
        <v>650</v>
      </c>
      <c r="J58" s="3">
        <f>Table1[[#This Row],[Quality]]*Table1[[#This Row],[Unit Price]]</f>
        <v>42250</v>
      </c>
      <c r="K58" s="3">
        <f t="shared" si="9"/>
        <v>500</v>
      </c>
      <c r="L58" s="3">
        <v>12000</v>
      </c>
      <c r="M58" s="3">
        <f>Table1[[#This Row],[Sales]]-Table1[[#This Row],[Profit]]</f>
        <v>30250</v>
      </c>
      <c r="N58" t="s">
        <v>51</v>
      </c>
      <c r="O58" t="str">
        <f t="shared" si="10"/>
        <v>Anambra</v>
      </c>
      <c r="P58" t="str">
        <f t="shared" si="11"/>
        <v>Emmanuel Jonathan</v>
      </c>
      <c r="Q58" t="s">
        <v>19</v>
      </c>
    </row>
    <row r="59" spans="1:17" x14ac:dyDescent="0.25">
      <c r="A59" t="s">
        <v>67</v>
      </c>
      <c r="B59" s="10">
        <v>46080</v>
      </c>
      <c r="C59" t="s">
        <v>31</v>
      </c>
      <c r="D59" t="s">
        <v>38</v>
      </c>
      <c r="E59" t="s">
        <v>43</v>
      </c>
      <c r="F59" t="str">
        <f t="shared" si="6"/>
        <v>Monster</v>
      </c>
      <c r="G59" t="str">
        <f t="shared" si="7"/>
        <v>Energy Drink</v>
      </c>
      <c r="H59">
        <v>87</v>
      </c>
      <c r="I59" s="3">
        <f t="shared" si="8"/>
        <v>900</v>
      </c>
      <c r="J59" s="3">
        <f>Table1[[#This Row],[Quality]]*Table1[[#This Row],[Unit Price]]</f>
        <v>78300</v>
      </c>
      <c r="K59" s="3">
        <f t="shared" si="9"/>
        <v>720</v>
      </c>
      <c r="L59" s="3">
        <v>20000</v>
      </c>
      <c r="M59" s="3">
        <f>Table1[[#This Row],[Sales]]-Table1[[#This Row],[Profit]]</f>
        <v>58300</v>
      </c>
      <c r="N59" t="s">
        <v>51</v>
      </c>
      <c r="O59" t="str">
        <f t="shared" si="10"/>
        <v>Anambra</v>
      </c>
      <c r="P59" t="str">
        <f t="shared" si="11"/>
        <v>Emmanuel Jonathan</v>
      </c>
      <c r="Q59" t="s">
        <v>52</v>
      </c>
    </row>
    <row r="60" spans="1:17" x14ac:dyDescent="0.25">
      <c r="A60" t="s">
        <v>67</v>
      </c>
      <c r="B60" s="10">
        <v>46081</v>
      </c>
      <c r="C60" t="s">
        <v>31</v>
      </c>
      <c r="D60" t="s">
        <v>38</v>
      </c>
      <c r="E60" t="s">
        <v>17</v>
      </c>
      <c r="F60" t="str">
        <f t="shared" si="6"/>
        <v>Coca-Cola</v>
      </c>
      <c r="G60" t="str">
        <f t="shared" si="7"/>
        <v>Soft Drink</v>
      </c>
      <c r="H60">
        <v>65</v>
      </c>
      <c r="I60" s="3">
        <f t="shared" si="8"/>
        <v>470</v>
      </c>
      <c r="J60" s="3">
        <f>Table1[[#This Row],[Quality]]*Table1[[#This Row],[Unit Price]]</f>
        <v>30550</v>
      </c>
      <c r="K60" s="3">
        <f t="shared" si="9"/>
        <v>350</v>
      </c>
      <c r="L60" s="3">
        <v>12000</v>
      </c>
      <c r="M60" s="3">
        <f>Table1[[#This Row],[Sales]]-Table1[[#This Row],[Profit]]</f>
        <v>18550</v>
      </c>
      <c r="N60" t="s">
        <v>51</v>
      </c>
      <c r="O60" t="str">
        <f t="shared" si="10"/>
        <v>Anambra</v>
      </c>
      <c r="P60" t="str">
        <f t="shared" si="11"/>
        <v>Emmanuel Jonathan</v>
      </c>
      <c r="Q60" t="s">
        <v>52</v>
      </c>
    </row>
    <row r="61" spans="1:17" x14ac:dyDescent="0.25">
      <c r="A61" t="s">
        <v>68</v>
      </c>
      <c r="B61" s="10">
        <v>46082</v>
      </c>
      <c r="C61" t="s">
        <v>34</v>
      </c>
      <c r="D61" t="s">
        <v>39</v>
      </c>
      <c r="E61" t="s">
        <v>41</v>
      </c>
      <c r="F61" t="str">
        <f t="shared" si="6"/>
        <v>Pepsi</v>
      </c>
      <c r="G61" t="str">
        <f t="shared" si="7"/>
        <v>Soft Drink</v>
      </c>
      <c r="H61">
        <v>98</v>
      </c>
      <c r="I61" s="3">
        <f t="shared" si="8"/>
        <v>480</v>
      </c>
      <c r="J61" s="3">
        <f>Table1[[#This Row],[Quality]]*Table1[[#This Row],[Unit Price]]</f>
        <v>47040</v>
      </c>
      <c r="K61" s="3">
        <f t="shared" si="9"/>
        <v>360</v>
      </c>
      <c r="L61" s="3">
        <v>14000</v>
      </c>
      <c r="M61" s="3">
        <f>Table1[[#This Row],[Sales]]-Table1[[#This Row],[Profit]]</f>
        <v>33040</v>
      </c>
      <c r="N61" t="s">
        <v>51</v>
      </c>
      <c r="O61" t="str">
        <f t="shared" si="10"/>
        <v>Anambra</v>
      </c>
      <c r="P61" t="str">
        <f t="shared" si="11"/>
        <v>Emmanuel Jonathan</v>
      </c>
      <c r="Q61" t="s">
        <v>53</v>
      </c>
    </row>
    <row r="62" spans="1:17" x14ac:dyDescent="0.25">
      <c r="A62" t="s">
        <v>68</v>
      </c>
      <c r="B62" s="10">
        <v>46083</v>
      </c>
      <c r="C62" t="s">
        <v>34</v>
      </c>
      <c r="D62" t="s">
        <v>39</v>
      </c>
      <c r="E62" t="s">
        <v>45</v>
      </c>
      <c r="F62" t="str">
        <f t="shared" si="6"/>
        <v>Coca-Cola</v>
      </c>
      <c r="G62" t="str">
        <f t="shared" si="7"/>
        <v>Soft Drink</v>
      </c>
      <c r="H62">
        <v>87</v>
      </c>
      <c r="I62" s="3">
        <f t="shared" si="8"/>
        <v>500</v>
      </c>
      <c r="J62" s="3">
        <f>Table1[[#This Row],[Quality]]*Table1[[#This Row],[Unit Price]]</f>
        <v>43500</v>
      </c>
      <c r="K62" s="3">
        <f t="shared" si="9"/>
        <v>380</v>
      </c>
      <c r="L62" s="3">
        <v>12500</v>
      </c>
      <c r="M62" s="3">
        <f>Table1[[#This Row],[Sales]]-Table1[[#This Row],[Profit]]</f>
        <v>31000</v>
      </c>
      <c r="N62" t="s">
        <v>48</v>
      </c>
      <c r="O62" t="str">
        <f t="shared" si="10"/>
        <v>Kano</v>
      </c>
      <c r="P62" t="str">
        <f t="shared" si="11"/>
        <v>Abdullahi Yahaya</v>
      </c>
      <c r="Q62" t="s">
        <v>53</v>
      </c>
    </row>
    <row r="63" spans="1:17" x14ac:dyDescent="0.25">
      <c r="A63" t="s">
        <v>69</v>
      </c>
      <c r="B63" s="10">
        <v>46084</v>
      </c>
      <c r="C63" t="s">
        <v>36</v>
      </c>
      <c r="D63" t="s">
        <v>37</v>
      </c>
      <c r="E63" t="s">
        <v>40</v>
      </c>
      <c r="F63" t="str">
        <f t="shared" si="6"/>
        <v>Maltina</v>
      </c>
      <c r="G63" t="str">
        <f t="shared" si="7"/>
        <v>Malt Drink</v>
      </c>
      <c r="H63">
        <v>54</v>
      </c>
      <c r="I63" s="3">
        <f t="shared" si="8"/>
        <v>650</v>
      </c>
      <c r="J63" s="3">
        <f>Table1[[#This Row],[Quality]]*Table1[[#This Row],[Unit Price]]</f>
        <v>35100</v>
      </c>
      <c r="K63" s="3">
        <f t="shared" si="9"/>
        <v>500</v>
      </c>
      <c r="L63" s="3">
        <v>13500</v>
      </c>
      <c r="M63" s="3">
        <f>Table1[[#This Row],[Sales]]-Table1[[#This Row],[Profit]]</f>
        <v>21600</v>
      </c>
      <c r="N63" t="s">
        <v>48</v>
      </c>
      <c r="O63" t="str">
        <f t="shared" si="10"/>
        <v>Kano</v>
      </c>
      <c r="P63" t="str">
        <f t="shared" si="11"/>
        <v>Abdullahi Yahaya</v>
      </c>
      <c r="Q63" t="s">
        <v>19</v>
      </c>
    </row>
    <row r="64" spans="1:17" x14ac:dyDescent="0.25">
      <c r="A64" t="s">
        <v>69</v>
      </c>
      <c r="B64" s="10">
        <v>46085</v>
      </c>
      <c r="C64" t="s">
        <v>36</v>
      </c>
      <c r="D64" t="s">
        <v>37</v>
      </c>
      <c r="E64" t="s">
        <v>42</v>
      </c>
      <c r="F64" t="str">
        <f t="shared" si="6"/>
        <v>Coca-Cola</v>
      </c>
      <c r="G64" t="str">
        <f t="shared" si="7"/>
        <v>Soft Drink</v>
      </c>
      <c r="H64">
        <v>32</v>
      </c>
      <c r="I64" s="3">
        <f t="shared" si="8"/>
        <v>450</v>
      </c>
      <c r="J64" s="3">
        <f>Table1[[#This Row],[Quality]]*Table1[[#This Row],[Unit Price]]</f>
        <v>14400</v>
      </c>
      <c r="K64" s="3">
        <f t="shared" si="9"/>
        <v>340</v>
      </c>
      <c r="L64" s="3">
        <v>2500</v>
      </c>
      <c r="M64" s="3">
        <f>Table1[[#This Row],[Sales]]-Table1[[#This Row],[Profit]]</f>
        <v>11900</v>
      </c>
      <c r="N64" t="s">
        <v>48</v>
      </c>
      <c r="O64" t="str">
        <f t="shared" si="10"/>
        <v>Kano</v>
      </c>
      <c r="P64" t="str">
        <f t="shared" si="11"/>
        <v>Abdullahi Yahaya</v>
      </c>
      <c r="Q64" t="s">
        <v>19</v>
      </c>
    </row>
    <row r="65" spans="1:17" x14ac:dyDescent="0.25">
      <c r="A65" t="s">
        <v>70</v>
      </c>
      <c r="B65" s="10">
        <v>46086</v>
      </c>
      <c r="C65" t="s">
        <v>32</v>
      </c>
      <c r="D65" t="s">
        <v>16</v>
      </c>
      <c r="E65" t="s">
        <v>46</v>
      </c>
      <c r="F65" t="str">
        <f t="shared" si="6"/>
        <v>Fearless</v>
      </c>
      <c r="G65" t="str">
        <f t="shared" si="7"/>
        <v>Energy Drink</v>
      </c>
      <c r="H65">
        <v>65</v>
      </c>
      <c r="I65" s="3">
        <f t="shared" si="8"/>
        <v>700</v>
      </c>
      <c r="J65" s="3">
        <f>Table1[[#This Row],[Quality]]*Table1[[#This Row],[Unit Price]]</f>
        <v>45500</v>
      </c>
      <c r="K65" s="3">
        <f t="shared" si="9"/>
        <v>540</v>
      </c>
      <c r="L65" s="3">
        <v>12000</v>
      </c>
      <c r="M65" s="3">
        <f>Table1[[#This Row],[Sales]]-Table1[[#This Row],[Profit]]</f>
        <v>33500</v>
      </c>
      <c r="N65" t="s">
        <v>48</v>
      </c>
      <c r="O65" t="str">
        <f t="shared" si="10"/>
        <v>Kano</v>
      </c>
      <c r="P65" t="str">
        <f t="shared" si="11"/>
        <v>Abdullahi Yahaya</v>
      </c>
      <c r="Q65" t="s">
        <v>52</v>
      </c>
    </row>
    <row r="66" spans="1:17" x14ac:dyDescent="0.25">
      <c r="A66" t="s">
        <v>70</v>
      </c>
      <c r="B66" s="10">
        <v>46087</v>
      </c>
      <c r="C66" t="s">
        <v>32</v>
      </c>
      <c r="D66" t="s">
        <v>16</v>
      </c>
      <c r="E66" t="s">
        <v>43</v>
      </c>
      <c r="F66" t="str">
        <f t="shared" ref="F66:F97" si="12">IF(E66="7Up 50cl","7up",IF(E66="Coca-Cola 50cl","Coca-Cola",IF(E66="Fanta Orange","Coca-Cola",IF(E66="Fearless Energy","Fearless",IF(E66="Maltina Can","Maltina",IF(E66="Monster Energy","Monster",IF(E66="Pepsi 50cl","Pepsi",IF(E66="Sprite 50cl","Coca-Cola"))))))))</f>
        <v>Monster</v>
      </c>
      <c r="G66" t="str">
        <f t="shared" ref="G66:G97" si="13">IF(F66="7up","Soft Drink",IF(F66="Coca-Cola","Soft Drink",IF(F66="Fearless","Energy Drink",IF(F66="Maltina","Malt Drink",IF(F66="Monster","Energy Drink",IF(F66="Pepsi","Soft Drink"))))))</f>
        <v>Energy Drink</v>
      </c>
      <c r="H66">
        <v>87</v>
      </c>
      <c r="I66" s="3">
        <f t="shared" ref="I66:I101" si="14">IF(E66="Sprite 50cl",470,IF(E66="Coca-Cola 50cl",500,IF(E66="Fanta Orange",450,IF(E66="Fearless Energy",700,IF(E66="Maltina Can",650,IF(E66="Monster Energy",900,IF(E66="Pepsi 50cl",480,IF(E66="Sprite 50cl",470,IF(E66="7up 50cl",460)))))))))</f>
        <v>900</v>
      </c>
      <c r="J66" s="3">
        <f>Table1[[#This Row],[Quality]]*Table1[[#This Row],[Unit Price]]</f>
        <v>78300</v>
      </c>
      <c r="K66" s="3">
        <f t="shared" ref="K66:K101" si="15">IF(I66=470,350,IF(I66=480,360,IF(I66=900,720,IF(I66=650,500,IF(I66=700,540,IF(I66=450,340,IF(I66=500,380,IF(I66=460,345))))))))</f>
        <v>720</v>
      </c>
      <c r="L66" s="3">
        <v>20000</v>
      </c>
      <c r="M66" s="3">
        <f>Table1[[#This Row],[Sales]]-Table1[[#This Row],[Profit]]</f>
        <v>58300</v>
      </c>
      <c r="N66" t="s">
        <v>48</v>
      </c>
      <c r="O66" t="str">
        <f t="shared" ref="O66:O97" si="16">IF(N66="South South","Port Harcourt",IF(N66="South East","Anambra",IF(N66="North Central","Abuja",IF(N66="North West","Kano",IF(N66="North East","Gombe",IF(N66="South West","Lagos"))))))</f>
        <v>Kano</v>
      </c>
      <c r="P66" t="str">
        <f t="shared" ref="P66:P97" si="17">IF(O66="Abuja","Micheal John",IF(O66="Anambra","Emmanuel Jonathan",IF(O66="Gombe","Isah Musa",IF(O66="Kano","Abdullahi Yahaya",IF(O66="Lagos","Ayo Kunle",IF(O66="Port Harcourt","Bella Godwin"))))))</f>
        <v>Abdullahi Yahaya</v>
      </c>
      <c r="Q66" t="s">
        <v>52</v>
      </c>
    </row>
    <row r="67" spans="1:17" x14ac:dyDescent="0.25">
      <c r="A67" t="s">
        <v>70</v>
      </c>
      <c r="B67" s="10">
        <v>46088</v>
      </c>
      <c r="C67" t="s">
        <v>32</v>
      </c>
      <c r="D67" t="s">
        <v>16</v>
      </c>
      <c r="E67" t="s">
        <v>45</v>
      </c>
      <c r="F67" t="str">
        <f t="shared" si="12"/>
        <v>Coca-Cola</v>
      </c>
      <c r="G67" t="str">
        <f t="shared" si="13"/>
        <v>Soft Drink</v>
      </c>
      <c r="H67">
        <v>98</v>
      </c>
      <c r="I67" s="3">
        <f t="shared" si="14"/>
        <v>500</v>
      </c>
      <c r="J67" s="3">
        <f>Table1[[#This Row],[Quality]]*Table1[[#This Row],[Unit Price]]</f>
        <v>49000</v>
      </c>
      <c r="K67" s="3">
        <f t="shared" si="15"/>
        <v>380</v>
      </c>
      <c r="L67" s="3">
        <v>13000</v>
      </c>
      <c r="M67" s="3">
        <f>Table1[[#This Row],[Sales]]-Table1[[#This Row],[Profit]]</f>
        <v>36000</v>
      </c>
      <c r="N67" t="s">
        <v>48</v>
      </c>
      <c r="O67" t="str">
        <f t="shared" si="16"/>
        <v>Kano</v>
      </c>
      <c r="P67" t="str">
        <f t="shared" si="17"/>
        <v>Abdullahi Yahaya</v>
      </c>
      <c r="Q67" t="s">
        <v>19</v>
      </c>
    </row>
    <row r="68" spans="1:17" x14ac:dyDescent="0.25">
      <c r="A68" t="s">
        <v>70</v>
      </c>
      <c r="B68" s="10">
        <v>46089</v>
      </c>
      <c r="C68" t="s">
        <v>32</v>
      </c>
      <c r="D68" t="s">
        <v>16</v>
      </c>
      <c r="E68" t="s">
        <v>45</v>
      </c>
      <c r="F68" t="str">
        <f t="shared" si="12"/>
        <v>Coca-Cola</v>
      </c>
      <c r="G68" t="str">
        <f t="shared" si="13"/>
        <v>Soft Drink</v>
      </c>
      <c r="H68">
        <v>65</v>
      </c>
      <c r="I68" s="3">
        <f t="shared" si="14"/>
        <v>500</v>
      </c>
      <c r="J68" s="3">
        <f>Table1[[#This Row],[Quality]]*Table1[[#This Row],[Unit Price]]</f>
        <v>32500</v>
      </c>
      <c r="K68" s="3">
        <f t="shared" si="15"/>
        <v>380</v>
      </c>
      <c r="L68" s="3">
        <v>12000</v>
      </c>
      <c r="M68" s="3">
        <f>Table1[[#This Row],[Sales]]-Table1[[#This Row],[Profit]]</f>
        <v>20500</v>
      </c>
      <c r="N68" t="s">
        <v>48</v>
      </c>
      <c r="O68" t="str">
        <f t="shared" si="16"/>
        <v>Kano</v>
      </c>
      <c r="P68" t="str">
        <f t="shared" si="17"/>
        <v>Abdullahi Yahaya</v>
      </c>
      <c r="Q68" t="s">
        <v>53</v>
      </c>
    </row>
    <row r="69" spans="1:17" x14ac:dyDescent="0.25">
      <c r="A69" t="s">
        <v>71</v>
      </c>
      <c r="B69" s="10">
        <v>46090</v>
      </c>
      <c r="C69" t="s">
        <v>34</v>
      </c>
      <c r="D69" t="s">
        <v>16</v>
      </c>
      <c r="E69" t="s">
        <v>44</v>
      </c>
      <c r="F69" t="str">
        <f t="shared" si="12"/>
        <v>7up</v>
      </c>
      <c r="G69" t="str">
        <f t="shared" si="13"/>
        <v>Soft Drink</v>
      </c>
      <c r="H69">
        <v>45</v>
      </c>
      <c r="I69" s="3">
        <f t="shared" si="14"/>
        <v>460</v>
      </c>
      <c r="J69" s="3">
        <f>Table1[[#This Row],[Quality]]*Table1[[#This Row],[Unit Price]]</f>
        <v>20700</v>
      </c>
      <c r="K69" s="3">
        <f t="shared" si="15"/>
        <v>345</v>
      </c>
      <c r="L69" s="3">
        <v>4500</v>
      </c>
      <c r="M69" s="3">
        <f>Table1[[#This Row],[Sales]]-Table1[[#This Row],[Profit]]</f>
        <v>16200</v>
      </c>
      <c r="N69" t="s">
        <v>48</v>
      </c>
      <c r="O69" t="str">
        <f t="shared" si="16"/>
        <v>Kano</v>
      </c>
      <c r="P69" t="str">
        <f t="shared" si="17"/>
        <v>Abdullahi Yahaya</v>
      </c>
      <c r="Q69" t="s">
        <v>52</v>
      </c>
    </row>
    <row r="70" spans="1:17" x14ac:dyDescent="0.25">
      <c r="A70" t="s">
        <v>71</v>
      </c>
      <c r="B70" s="10">
        <v>46091</v>
      </c>
      <c r="C70" t="s">
        <v>34</v>
      </c>
      <c r="D70" t="s">
        <v>16</v>
      </c>
      <c r="E70" t="s">
        <v>43</v>
      </c>
      <c r="F70" t="str">
        <f t="shared" si="12"/>
        <v>Monster</v>
      </c>
      <c r="G70" t="str">
        <f t="shared" si="13"/>
        <v>Energy Drink</v>
      </c>
      <c r="H70">
        <v>45</v>
      </c>
      <c r="I70" s="3">
        <f t="shared" si="14"/>
        <v>900</v>
      </c>
      <c r="J70" s="3">
        <f>Table1[[#This Row],[Quality]]*Table1[[#This Row],[Unit Price]]</f>
        <v>40500</v>
      </c>
      <c r="K70" s="3">
        <f t="shared" si="15"/>
        <v>720</v>
      </c>
      <c r="L70" s="3">
        <v>13000</v>
      </c>
      <c r="M70" s="3">
        <f>Table1[[#This Row],[Sales]]-Table1[[#This Row],[Profit]]</f>
        <v>27500</v>
      </c>
      <c r="N70" t="s">
        <v>48</v>
      </c>
      <c r="O70" t="str">
        <f t="shared" si="16"/>
        <v>Kano</v>
      </c>
      <c r="P70" t="str">
        <f t="shared" si="17"/>
        <v>Abdullahi Yahaya</v>
      </c>
      <c r="Q70" t="s">
        <v>53</v>
      </c>
    </row>
    <row r="71" spans="1:17" x14ac:dyDescent="0.25">
      <c r="A71" t="s">
        <v>71</v>
      </c>
      <c r="B71" s="10">
        <v>46092</v>
      </c>
      <c r="C71" t="s">
        <v>34</v>
      </c>
      <c r="D71" t="s">
        <v>16</v>
      </c>
      <c r="E71" t="s">
        <v>41</v>
      </c>
      <c r="F71" t="str">
        <f t="shared" si="12"/>
        <v>Pepsi</v>
      </c>
      <c r="G71" t="str">
        <f t="shared" si="13"/>
        <v>Soft Drink</v>
      </c>
      <c r="H71">
        <v>78</v>
      </c>
      <c r="I71" s="3">
        <f t="shared" si="14"/>
        <v>480</v>
      </c>
      <c r="J71" s="3">
        <f>Table1[[#This Row],[Quality]]*Table1[[#This Row],[Unit Price]]</f>
        <v>37440</v>
      </c>
      <c r="K71" s="3">
        <f t="shared" si="15"/>
        <v>360</v>
      </c>
      <c r="L71" s="3">
        <v>12000</v>
      </c>
      <c r="M71" s="3">
        <f>Table1[[#This Row],[Sales]]-Table1[[#This Row],[Profit]]</f>
        <v>25440</v>
      </c>
      <c r="N71" t="s">
        <v>48</v>
      </c>
      <c r="O71" t="str">
        <f t="shared" si="16"/>
        <v>Kano</v>
      </c>
      <c r="P71" t="str">
        <f t="shared" si="17"/>
        <v>Abdullahi Yahaya</v>
      </c>
      <c r="Q71" t="s">
        <v>19</v>
      </c>
    </row>
    <row r="72" spans="1:17" x14ac:dyDescent="0.25">
      <c r="A72" t="s">
        <v>72</v>
      </c>
      <c r="B72" s="10">
        <v>46093</v>
      </c>
      <c r="C72" t="s">
        <v>26</v>
      </c>
      <c r="D72" t="s">
        <v>38</v>
      </c>
      <c r="E72" t="s">
        <v>46</v>
      </c>
      <c r="F72" t="str">
        <f t="shared" si="12"/>
        <v>Fearless</v>
      </c>
      <c r="G72" t="str">
        <f t="shared" si="13"/>
        <v>Energy Drink</v>
      </c>
      <c r="H72">
        <v>98</v>
      </c>
      <c r="I72" s="3">
        <f t="shared" si="14"/>
        <v>700</v>
      </c>
      <c r="J72" s="3">
        <f>Table1[[#This Row],[Quality]]*Table1[[#This Row],[Unit Price]]</f>
        <v>68600</v>
      </c>
      <c r="K72" s="3">
        <f t="shared" si="15"/>
        <v>540</v>
      </c>
      <c r="L72" s="3">
        <v>20000</v>
      </c>
      <c r="M72" s="3">
        <f>Table1[[#This Row],[Sales]]-Table1[[#This Row],[Profit]]</f>
        <v>48600</v>
      </c>
      <c r="N72" t="s">
        <v>48</v>
      </c>
      <c r="O72" t="str">
        <f t="shared" si="16"/>
        <v>Kano</v>
      </c>
      <c r="P72" t="str">
        <f t="shared" si="17"/>
        <v>Abdullahi Yahaya</v>
      </c>
      <c r="Q72" t="s">
        <v>52</v>
      </c>
    </row>
    <row r="73" spans="1:17" x14ac:dyDescent="0.25">
      <c r="A73" t="s">
        <v>72</v>
      </c>
      <c r="B73" s="10">
        <v>46094</v>
      </c>
      <c r="C73" t="s">
        <v>26</v>
      </c>
      <c r="D73" t="s">
        <v>38</v>
      </c>
      <c r="E73" t="s">
        <v>42</v>
      </c>
      <c r="F73" t="str">
        <f t="shared" si="12"/>
        <v>Coca-Cola</v>
      </c>
      <c r="G73" t="str">
        <f t="shared" si="13"/>
        <v>Soft Drink</v>
      </c>
      <c r="H73">
        <v>34</v>
      </c>
      <c r="I73" s="3">
        <f t="shared" si="14"/>
        <v>450</v>
      </c>
      <c r="J73" s="3">
        <f>Table1[[#This Row],[Quality]]*Table1[[#This Row],[Unit Price]]</f>
        <v>15300</v>
      </c>
      <c r="K73" s="3">
        <f t="shared" si="15"/>
        <v>340</v>
      </c>
      <c r="L73" s="3">
        <v>4500</v>
      </c>
      <c r="M73" s="3">
        <f>Table1[[#This Row],[Sales]]-Table1[[#This Row],[Profit]]</f>
        <v>10800</v>
      </c>
      <c r="N73" t="s">
        <v>48</v>
      </c>
      <c r="O73" t="str">
        <f t="shared" si="16"/>
        <v>Kano</v>
      </c>
      <c r="P73" t="str">
        <f t="shared" si="17"/>
        <v>Abdullahi Yahaya</v>
      </c>
      <c r="Q73" t="s">
        <v>19</v>
      </c>
    </row>
    <row r="74" spans="1:17" x14ac:dyDescent="0.25">
      <c r="A74" t="s">
        <v>73</v>
      </c>
      <c r="B74" s="10">
        <v>46095</v>
      </c>
      <c r="C74" t="s">
        <v>27</v>
      </c>
      <c r="D74" t="s">
        <v>38</v>
      </c>
      <c r="E74" t="s">
        <v>40</v>
      </c>
      <c r="F74" t="str">
        <f t="shared" si="12"/>
        <v>Maltina</v>
      </c>
      <c r="G74" t="str">
        <f t="shared" si="13"/>
        <v>Malt Drink</v>
      </c>
      <c r="H74">
        <v>56</v>
      </c>
      <c r="I74" s="3">
        <f t="shared" si="14"/>
        <v>650</v>
      </c>
      <c r="J74" s="3">
        <f>Table1[[#This Row],[Quality]]*Table1[[#This Row],[Unit Price]]</f>
        <v>36400</v>
      </c>
      <c r="K74" s="3">
        <f t="shared" si="15"/>
        <v>500</v>
      </c>
      <c r="L74" s="3">
        <v>16000</v>
      </c>
      <c r="M74" s="3">
        <f>Table1[[#This Row],[Sales]]-Table1[[#This Row],[Profit]]</f>
        <v>20400</v>
      </c>
      <c r="N74" t="s">
        <v>48</v>
      </c>
      <c r="O74" t="str">
        <f t="shared" si="16"/>
        <v>Kano</v>
      </c>
      <c r="P74" t="str">
        <f t="shared" si="17"/>
        <v>Abdullahi Yahaya</v>
      </c>
      <c r="Q74" t="s">
        <v>52</v>
      </c>
    </row>
    <row r="75" spans="1:17" x14ac:dyDescent="0.25">
      <c r="A75" t="s">
        <v>73</v>
      </c>
      <c r="B75" s="10">
        <v>46096</v>
      </c>
      <c r="C75" t="s">
        <v>27</v>
      </c>
      <c r="D75" t="s">
        <v>38</v>
      </c>
      <c r="E75" t="s">
        <v>42</v>
      </c>
      <c r="F75" t="str">
        <f t="shared" si="12"/>
        <v>Coca-Cola</v>
      </c>
      <c r="G75" t="str">
        <f t="shared" si="13"/>
        <v>Soft Drink</v>
      </c>
      <c r="H75">
        <v>76</v>
      </c>
      <c r="I75" s="3">
        <f t="shared" si="14"/>
        <v>450</v>
      </c>
      <c r="J75" s="3">
        <f>Table1[[#This Row],[Quality]]*Table1[[#This Row],[Unit Price]]</f>
        <v>34200</v>
      </c>
      <c r="K75" s="3">
        <f t="shared" si="15"/>
        <v>340</v>
      </c>
      <c r="L75" s="3">
        <v>12000</v>
      </c>
      <c r="M75" s="3">
        <f>Table1[[#This Row],[Sales]]-Table1[[#This Row],[Profit]]</f>
        <v>22200</v>
      </c>
      <c r="N75" t="s">
        <v>48</v>
      </c>
      <c r="O75" t="str">
        <f t="shared" si="16"/>
        <v>Kano</v>
      </c>
      <c r="P75" t="str">
        <f t="shared" si="17"/>
        <v>Abdullahi Yahaya</v>
      </c>
      <c r="Q75" t="s">
        <v>53</v>
      </c>
    </row>
    <row r="76" spans="1:17" x14ac:dyDescent="0.25">
      <c r="A76" t="s">
        <v>73</v>
      </c>
      <c r="B76" s="10">
        <v>46097</v>
      </c>
      <c r="C76" t="s">
        <v>27</v>
      </c>
      <c r="D76" t="s">
        <v>38</v>
      </c>
      <c r="E76" t="s">
        <v>40</v>
      </c>
      <c r="F76" t="str">
        <f t="shared" si="12"/>
        <v>Maltina</v>
      </c>
      <c r="G76" t="str">
        <f t="shared" si="13"/>
        <v>Malt Drink</v>
      </c>
      <c r="H76">
        <v>87</v>
      </c>
      <c r="I76" s="3">
        <f t="shared" si="14"/>
        <v>650</v>
      </c>
      <c r="J76" s="3">
        <f>Table1[[#This Row],[Quality]]*Table1[[#This Row],[Unit Price]]</f>
        <v>56550</v>
      </c>
      <c r="K76" s="3">
        <f t="shared" si="15"/>
        <v>500</v>
      </c>
      <c r="L76" s="3">
        <v>13000</v>
      </c>
      <c r="M76" s="3">
        <f>Table1[[#This Row],[Sales]]-Table1[[#This Row],[Profit]]</f>
        <v>43550</v>
      </c>
      <c r="N76" t="s">
        <v>51</v>
      </c>
      <c r="O76" t="str">
        <f t="shared" si="16"/>
        <v>Anambra</v>
      </c>
      <c r="P76" t="str">
        <f t="shared" si="17"/>
        <v>Emmanuel Jonathan</v>
      </c>
      <c r="Q76" t="s">
        <v>53</v>
      </c>
    </row>
    <row r="77" spans="1:17" x14ac:dyDescent="0.25">
      <c r="A77" t="s">
        <v>73</v>
      </c>
      <c r="B77" s="10">
        <v>46098</v>
      </c>
      <c r="C77" t="s">
        <v>27</v>
      </c>
      <c r="D77" t="s">
        <v>38</v>
      </c>
      <c r="E77" t="s">
        <v>42</v>
      </c>
      <c r="F77" t="str">
        <f t="shared" si="12"/>
        <v>Coca-Cola</v>
      </c>
      <c r="G77" t="str">
        <f t="shared" si="13"/>
        <v>Soft Drink</v>
      </c>
      <c r="H77">
        <v>98</v>
      </c>
      <c r="I77" s="3">
        <f t="shared" si="14"/>
        <v>450</v>
      </c>
      <c r="J77" s="3">
        <f>Table1[[#This Row],[Quality]]*Table1[[#This Row],[Unit Price]]</f>
        <v>44100</v>
      </c>
      <c r="K77" s="3">
        <f t="shared" si="15"/>
        <v>340</v>
      </c>
      <c r="L77" s="3">
        <v>2000</v>
      </c>
      <c r="M77" s="3">
        <f>Table1[[#This Row],[Sales]]-Table1[[#This Row],[Profit]]</f>
        <v>42100</v>
      </c>
      <c r="N77" t="s">
        <v>51</v>
      </c>
      <c r="O77" t="str">
        <f t="shared" si="16"/>
        <v>Anambra</v>
      </c>
      <c r="P77" t="str">
        <f t="shared" si="17"/>
        <v>Emmanuel Jonathan</v>
      </c>
      <c r="Q77" t="s">
        <v>19</v>
      </c>
    </row>
    <row r="78" spans="1:17" x14ac:dyDescent="0.25">
      <c r="A78" t="s">
        <v>74</v>
      </c>
      <c r="B78" s="10">
        <v>46099</v>
      </c>
      <c r="C78" t="s">
        <v>34</v>
      </c>
      <c r="D78" t="s">
        <v>16</v>
      </c>
      <c r="E78" t="s">
        <v>44</v>
      </c>
      <c r="F78" t="str">
        <f t="shared" si="12"/>
        <v>7up</v>
      </c>
      <c r="G78" t="str">
        <f t="shared" si="13"/>
        <v>Soft Drink</v>
      </c>
      <c r="H78">
        <v>45</v>
      </c>
      <c r="I78" s="3">
        <f t="shared" si="14"/>
        <v>460</v>
      </c>
      <c r="J78" s="3">
        <f>Table1[[#This Row],[Quality]]*Table1[[#This Row],[Unit Price]]</f>
        <v>20700</v>
      </c>
      <c r="K78" s="3">
        <f t="shared" si="15"/>
        <v>345</v>
      </c>
      <c r="L78" s="3">
        <v>5000</v>
      </c>
      <c r="M78" s="3">
        <f>Table1[[#This Row],[Sales]]-Table1[[#This Row],[Profit]]</f>
        <v>15700</v>
      </c>
      <c r="N78" t="s">
        <v>51</v>
      </c>
      <c r="O78" t="str">
        <f t="shared" si="16"/>
        <v>Anambra</v>
      </c>
      <c r="P78" t="str">
        <f t="shared" si="17"/>
        <v>Emmanuel Jonathan</v>
      </c>
      <c r="Q78" t="s">
        <v>19</v>
      </c>
    </row>
    <row r="79" spans="1:17" x14ac:dyDescent="0.25">
      <c r="A79" t="s">
        <v>74</v>
      </c>
      <c r="B79" s="10">
        <v>46100</v>
      </c>
      <c r="C79" t="s">
        <v>34</v>
      </c>
      <c r="D79" t="s">
        <v>16</v>
      </c>
      <c r="E79" t="s">
        <v>44</v>
      </c>
      <c r="F79" t="str">
        <f t="shared" si="12"/>
        <v>7up</v>
      </c>
      <c r="G79" t="str">
        <f t="shared" si="13"/>
        <v>Soft Drink</v>
      </c>
      <c r="H79">
        <v>67</v>
      </c>
      <c r="I79" s="3">
        <f t="shared" si="14"/>
        <v>460</v>
      </c>
      <c r="J79" s="3">
        <f>Table1[[#This Row],[Quality]]*Table1[[#This Row],[Unit Price]]</f>
        <v>30820</v>
      </c>
      <c r="K79" s="3">
        <f t="shared" si="15"/>
        <v>345</v>
      </c>
      <c r="L79" s="3">
        <v>12000</v>
      </c>
      <c r="M79" s="3">
        <f>Table1[[#This Row],[Sales]]-Table1[[#This Row],[Profit]]</f>
        <v>18820</v>
      </c>
      <c r="N79" t="s">
        <v>51</v>
      </c>
      <c r="O79" t="str">
        <f t="shared" si="16"/>
        <v>Anambra</v>
      </c>
      <c r="P79" t="str">
        <f t="shared" si="17"/>
        <v>Emmanuel Jonathan</v>
      </c>
      <c r="Q79" t="s">
        <v>52</v>
      </c>
    </row>
    <row r="80" spans="1:17" x14ac:dyDescent="0.25">
      <c r="A80" t="s">
        <v>74</v>
      </c>
      <c r="B80" s="10">
        <v>46101</v>
      </c>
      <c r="C80" t="s">
        <v>34</v>
      </c>
      <c r="D80" t="s">
        <v>16</v>
      </c>
      <c r="E80" t="s">
        <v>42</v>
      </c>
      <c r="F80" t="str">
        <f t="shared" si="12"/>
        <v>Coca-Cola</v>
      </c>
      <c r="G80" t="str">
        <f t="shared" si="13"/>
        <v>Soft Drink</v>
      </c>
      <c r="H80">
        <v>89</v>
      </c>
      <c r="I80" s="3">
        <f t="shared" si="14"/>
        <v>450</v>
      </c>
      <c r="J80" s="3">
        <f>Table1[[#This Row],[Quality]]*Table1[[#This Row],[Unit Price]]</f>
        <v>40050</v>
      </c>
      <c r="K80" s="3">
        <f t="shared" si="15"/>
        <v>340</v>
      </c>
      <c r="L80" s="3">
        <v>13000</v>
      </c>
      <c r="M80" s="3">
        <f>Table1[[#This Row],[Sales]]-Table1[[#This Row],[Profit]]</f>
        <v>27050</v>
      </c>
      <c r="N80" t="s">
        <v>51</v>
      </c>
      <c r="O80" t="str">
        <f t="shared" si="16"/>
        <v>Anambra</v>
      </c>
      <c r="P80" t="str">
        <f t="shared" si="17"/>
        <v>Emmanuel Jonathan</v>
      </c>
      <c r="Q80" t="s">
        <v>52</v>
      </c>
    </row>
    <row r="81" spans="1:17" x14ac:dyDescent="0.25">
      <c r="A81" t="s">
        <v>74</v>
      </c>
      <c r="B81" s="10">
        <v>46102</v>
      </c>
      <c r="C81" t="s">
        <v>34</v>
      </c>
      <c r="D81" t="s">
        <v>16</v>
      </c>
      <c r="E81" t="s">
        <v>41</v>
      </c>
      <c r="F81" t="str">
        <f t="shared" si="12"/>
        <v>Pepsi</v>
      </c>
      <c r="G81" t="str">
        <f t="shared" si="13"/>
        <v>Soft Drink</v>
      </c>
      <c r="H81">
        <v>55</v>
      </c>
      <c r="I81" s="3">
        <f t="shared" si="14"/>
        <v>480</v>
      </c>
      <c r="J81" s="3">
        <f>Table1[[#This Row],[Quality]]*Table1[[#This Row],[Unit Price]]</f>
        <v>26400</v>
      </c>
      <c r="K81" s="3">
        <f t="shared" si="15"/>
        <v>360</v>
      </c>
      <c r="L81" s="3">
        <v>12000</v>
      </c>
      <c r="M81" s="3">
        <f>Table1[[#This Row],[Sales]]-Table1[[#This Row],[Profit]]</f>
        <v>14400</v>
      </c>
      <c r="N81" t="s">
        <v>51</v>
      </c>
      <c r="O81" t="str">
        <f t="shared" si="16"/>
        <v>Anambra</v>
      </c>
      <c r="P81" t="str">
        <f t="shared" si="17"/>
        <v>Emmanuel Jonathan</v>
      </c>
      <c r="Q81" t="s">
        <v>19</v>
      </c>
    </row>
    <row r="82" spans="1:17" x14ac:dyDescent="0.25">
      <c r="A82" t="s">
        <v>75</v>
      </c>
      <c r="B82" s="10">
        <v>46103</v>
      </c>
      <c r="C82" t="s">
        <v>35</v>
      </c>
      <c r="D82" t="s">
        <v>39</v>
      </c>
      <c r="E82" t="s">
        <v>17</v>
      </c>
      <c r="F82" t="str">
        <f t="shared" si="12"/>
        <v>Coca-Cola</v>
      </c>
      <c r="G82" t="str">
        <f t="shared" si="13"/>
        <v>Soft Drink</v>
      </c>
      <c r="H82">
        <v>44</v>
      </c>
      <c r="I82" s="3">
        <f t="shared" si="14"/>
        <v>470</v>
      </c>
      <c r="J82" s="3">
        <f>Table1[[#This Row],[Quality]]*Table1[[#This Row],[Unit Price]]</f>
        <v>20680</v>
      </c>
      <c r="K82" s="3">
        <f t="shared" si="15"/>
        <v>350</v>
      </c>
      <c r="L82" s="3">
        <v>5000</v>
      </c>
      <c r="M82" s="3">
        <f>Table1[[#This Row],[Sales]]-Table1[[#This Row],[Profit]]</f>
        <v>15680</v>
      </c>
      <c r="N82" t="s">
        <v>51</v>
      </c>
      <c r="O82" t="str">
        <f t="shared" si="16"/>
        <v>Anambra</v>
      </c>
      <c r="P82" t="str">
        <f t="shared" si="17"/>
        <v>Emmanuel Jonathan</v>
      </c>
      <c r="Q82" t="s">
        <v>19</v>
      </c>
    </row>
    <row r="83" spans="1:17" x14ac:dyDescent="0.25">
      <c r="A83" t="s">
        <v>75</v>
      </c>
      <c r="B83" s="10">
        <v>46104</v>
      </c>
      <c r="C83" t="s">
        <v>35</v>
      </c>
      <c r="D83" t="s">
        <v>39</v>
      </c>
      <c r="E83" t="s">
        <v>43</v>
      </c>
      <c r="F83" t="str">
        <f t="shared" si="12"/>
        <v>Monster</v>
      </c>
      <c r="G83" t="str">
        <f t="shared" si="13"/>
        <v>Energy Drink</v>
      </c>
      <c r="H83">
        <v>33</v>
      </c>
      <c r="I83" s="3">
        <f t="shared" si="14"/>
        <v>900</v>
      </c>
      <c r="J83" s="3">
        <f>Table1[[#This Row],[Quality]]*Table1[[#This Row],[Unit Price]]</f>
        <v>29700</v>
      </c>
      <c r="K83" s="3">
        <f t="shared" si="15"/>
        <v>720</v>
      </c>
      <c r="L83" s="3">
        <v>6000</v>
      </c>
      <c r="M83" s="3">
        <f>Table1[[#This Row],[Sales]]-Table1[[#This Row],[Profit]]</f>
        <v>23700</v>
      </c>
      <c r="N83" t="s">
        <v>51</v>
      </c>
      <c r="O83" t="str">
        <f t="shared" si="16"/>
        <v>Anambra</v>
      </c>
      <c r="P83" t="str">
        <f t="shared" si="17"/>
        <v>Emmanuel Jonathan</v>
      </c>
      <c r="Q83" t="s">
        <v>52</v>
      </c>
    </row>
    <row r="84" spans="1:17" x14ac:dyDescent="0.25">
      <c r="A84" t="s">
        <v>75</v>
      </c>
      <c r="B84" s="10">
        <v>46105</v>
      </c>
      <c r="C84" t="s">
        <v>35</v>
      </c>
      <c r="D84" t="s">
        <v>39</v>
      </c>
      <c r="E84" t="s">
        <v>40</v>
      </c>
      <c r="F84" t="str">
        <f t="shared" si="12"/>
        <v>Maltina</v>
      </c>
      <c r="G84" t="str">
        <f t="shared" si="13"/>
        <v>Malt Drink</v>
      </c>
      <c r="H84">
        <v>23</v>
      </c>
      <c r="I84" s="3">
        <f t="shared" si="14"/>
        <v>650</v>
      </c>
      <c r="J84" s="3">
        <f>Table1[[#This Row],[Quality]]*Table1[[#This Row],[Unit Price]]</f>
        <v>14950</v>
      </c>
      <c r="K84" s="3">
        <f t="shared" si="15"/>
        <v>500</v>
      </c>
      <c r="L84" s="3">
        <v>5000</v>
      </c>
      <c r="M84" s="3">
        <f>Table1[[#This Row],[Sales]]-Table1[[#This Row],[Profit]]</f>
        <v>9950</v>
      </c>
      <c r="N84" t="s">
        <v>51</v>
      </c>
      <c r="O84" t="str">
        <f t="shared" si="16"/>
        <v>Anambra</v>
      </c>
      <c r="P84" t="str">
        <f t="shared" si="17"/>
        <v>Emmanuel Jonathan</v>
      </c>
      <c r="Q84" t="s">
        <v>53</v>
      </c>
    </row>
    <row r="85" spans="1:17" x14ac:dyDescent="0.25">
      <c r="A85" t="s">
        <v>75</v>
      </c>
      <c r="B85" s="10">
        <v>46106</v>
      </c>
      <c r="C85" t="s">
        <v>35</v>
      </c>
      <c r="D85" t="s">
        <v>16</v>
      </c>
      <c r="E85" t="s">
        <v>42</v>
      </c>
      <c r="F85" t="str">
        <f t="shared" si="12"/>
        <v>Coca-Cola</v>
      </c>
      <c r="G85" t="str">
        <f t="shared" si="13"/>
        <v>Soft Drink</v>
      </c>
      <c r="H85">
        <v>56</v>
      </c>
      <c r="I85" s="3">
        <f t="shared" si="14"/>
        <v>450</v>
      </c>
      <c r="J85" s="3">
        <f>Table1[[#This Row],[Quality]]*Table1[[#This Row],[Unit Price]]</f>
        <v>25200</v>
      </c>
      <c r="K85" s="3">
        <f t="shared" si="15"/>
        <v>340</v>
      </c>
      <c r="L85" s="3">
        <v>7000</v>
      </c>
      <c r="M85" s="3">
        <f>Table1[[#This Row],[Sales]]-Table1[[#This Row],[Profit]]</f>
        <v>18200</v>
      </c>
      <c r="N85" t="s">
        <v>51</v>
      </c>
      <c r="O85" t="str">
        <f t="shared" si="16"/>
        <v>Anambra</v>
      </c>
      <c r="P85" t="str">
        <f t="shared" si="17"/>
        <v>Emmanuel Jonathan</v>
      </c>
      <c r="Q85" t="s">
        <v>53</v>
      </c>
    </row>
    <row r="86" spans="1:17" x14ac:dyDescent="0.25">
      <c r="A86" t="s">
        <v>75</v>
      </c>
      <c r="B86" s="10">
        <v>46107</v>
      </c>
      <c r="C86" t="s">
        <v>35</v>
      </c>
      <c r="D86" t="s">
        <v>16</v>
      </c>
      <c r="E86" t="s">
        <v>43</v>
      </c>
      <c r="F86" t="str">
        <f t="shared" si="12"/>
        <v>Monster</v>
      </c>
      <c r="G86" t="str">
        <f t="shared" si="13"/>
        <v>Energy Drink</v>
      </c>
      <c r="H86">
        <v>78</v>
      </c>
      <c r="I86" s="3">
        <f t="shared" si="14"/>
        <v>900</v>
      </c>
      <c r="J86" s="3">
        <f>Table1[[#This Row],[Quality]]*Table1[[#This Row],[Unit Price]]</f>
        <v>70200</v>
      </c>
      <c r="K86" s="3">
        <f t="shared" si="15"/>
        <v>720</v>
      </c>
      <c r="L86" s="3">
        <v>12000</v>
      </c>
      <c r="M86" s="3">
        <f>Table1[[#This Row],[Sales]]-Table1[[#This Row],[Profit]]</f>
        <v>58200</v>
      </c>
      <c r="N86" t="s">
        <v>51</v>
      </c>
      <c r="O86" t="str">
        <f t="shared" si="16"/>
        <v>Anambra</v>
      </c>
      <c r="P86" t="str">
        <f t="shared" si="17"/>
        <v>Emmanuel Jonathan</v>
      </c>
      <c r="Q86" t="s">
        <v>52</v>
      </c>
    </row>
    <row r="87" spans="1:17" x14ac:dyDescent="0.25">
      <c r="A87" t="s">
        <v>76</v>
      </c>
      <c r="B87" s="10">
        <v>46108</v>
      </c>
      <c r="C87" t="s">
        <v>31</v>
      </c>
      <c r="D87" t="s">
        <v>37</v>
      </c>
      <c r="E87" t="s">
        <v>17</v>
      </c>
      <c r="F87" t="str">
        <f t="shared" si="12"/>
        <v>Coca-Cola</v>
      </c>
      <c r="G87" t="str">
        <f t="shared" si="13"/>
        <v>Soft Drink</v>
      </c>
      <c r="H87">
        <v>97</v>
      </c>
      <c r="I87" s="3">
        <f t="shared" si="14"/>
        <v>470</v>
      </c>
      <c r="J87" s="3">
        <f>Table1[[#This Row],[Quality]]*Table1[[#This Row],[Unit Price]]</f>
        <v>45590</v>
      </c>
      <c r="K87" s="3">
        <f t="shared" si="15"/>
        <v>350</v>
      </c>
      <c r="L87" s="3">
        <v>12500</v>
      </c>
      <c r="M87" s="3">
        <f>Table1[[#This Row],[Sales]]-Table1[[#This Row],[Profit]]</f>
        <v>33090</v>
      </c>
      <c r="N87" t="s">
        <v>51</v>
      </c>
      <c r="O87" t="str">
        <f t="shared" si="16"/>
        <v>Anambra</v>
      </c>
      <c r="P87" t="str">
        <f t="shared" si="17"/>
        <v>Emmanuel Jonathan</v>
      </c>
      <c r="Q87" t="s">
        <v>19</v>
      </c>
    </row>
    <row r="88" spans="1:17" x14ac:dyDescent="0.25">
      <c r="A88" t="s">
        <v>76</v>
      </c>
      <c r="B88" s="10">
        <v>46109</v>
      </c>
      <c r="C88" t="s">
        <v>31</v>
      </c>
      <c r="D88" t="s">
        <v>37</v>
      </c>
      <c r="E88" t="s">
        <v>17</v>
      </c>
      <c r="F88" t="str">
        <f t="shared" si="12"/>
        <v>Coca-Cola</v>
      </c>
      <c r="G88" t="str">
        <f t="shared" si="13"/>
        <v>Soft Drink</v>
      </c>
      <c r="H88">
        <v>45</v>
      </c>
      <c r="I88" s="3">
        <f t="shared" si="14"/>
        <v>470</v>
      </c>
      <c r="J88" s="3">
        <f>Table1[[#This Row],[Quality]]*Table1[[#This Row],[Unit Price]]</f>
        <v>21150</v>
      </c>
      <c r="K88" s="3">
        <f t="shared" si="15"/>
        <v>350</v>
      </c>
      <c r="L88" s="3">
        <v>1500</v>
      </c>
      <c r="M88" s="3">
        <f>Table1[[#This Row],[Sales]]-Table1[[#This Row],[Profit]]</f>
        <v>19650</v>
      </c>
      <c r="N88" t="s">
        <v>50</v>
      </c>
      <c r="O88" t="str">
        <f t="shared" si="16"/>
        <v>Gombe</v>
      </c>
      <c r="P88" t="str">
        <f t="shared" si="17"/>
        <v>Isah Musa</v>
      </c>
      <c r="Q88" t="s">
        <v>52</v>
      </c>
    </row>
    <row r="89" spans="1:17" x14ac:dyDescent="0.25">
      <c r="A89" t="s">
        <v>76</v>
      </c>
      <c r="B89" s="10">
        <v>46110</v>
      </c>
      <c r="C89" t="s">
        <v>31</v>
      </c>
      <c r="D89" t="s">
        <v>37</v>
      </c>
      <c r="E89" t="s">
        <v>40</v>
      </c>
      <c r="F89" t="str">
        <f t="shared" si="12"/>
        <v>Maltina</v>
      </c>
      <c r="G89" t="str">
        <f t="shared" si="13"/>
        <v>Malt Drink</v>
      </c>
      <c r="H89">
        <v>100</v>
      </c>
      <c r="I89" s="3">
        <f t="shared" si="14"/>
        <v>650</v>
      </c>
      <c r="J89" s="3">
        <f>Table1[[#This Row],[Quality]]*Table1[[#This Row],[Unit Price]]</f>
        <v>65000</v>
      </c>
      <c r="K89" s="3">
        <f t="shared" si="15"/>
        <v>500</v>
      </c>
      <c r="L89" s="3">
        <v>12000</v>
      </c>
      <c r="M89" s="3">
        <f>Table1[[#This Row],[Sales]]-Table1[[#This Row],[Profit]]</f>
        <v>53000</v>
      </c>
      <c r="N89" t="s">
        <v>50</v>
      </c>
      <c r="O89" t="str">
        <f t="shared" si="16"/>
        <v>Gombe</v>
      </c>
      <c r="P89" t="str">
        <f t="shared" si="17"/>
        <v>Isah Musa</v>
      </c>
      <c r="Q89" t="s">
        <v>53</v>
      </c>
    </row>
    <row r="90" spans="1:17" x14ac:dyDescent="0.25">
      <c r="A90" t="s">
        <v>77</v>
      </c>
      <c r="B90" s="10">
        <v>46111</v>
      </c>
      <c r="C90" t="s">
        <v>29</v>
      </c>
      <c r="D90" t="s">
        <v>16</v>
      </c>
      <c r="E90" t="s">
        <v>43</v>
      </c>
      <c r="F90" t="str">
        <f t="shared" si="12"/>
        <v>Monster</v>
      </c>
      <c r="G90" t="str">
        <f t="shared" si="13"/>
        <v>Energy Drink</v>
      </c>
      <c r="H90">
        <v>66</v>
      </c>
      <c r="I90" s="3">
        <f t="shared" si="14"/>
        <v>900</v>
      </c>
      <c r="J90" s="3">
        <f>Table1[[#This Row],[Quality]]*Table1[[#This Row],[Unit Price]]</f>
        <v>59400</v>
      </c>
      <c r="K90" s="3">
        <f t="shared" si="15"/>
        <v>720</v>
      </c>
      <c r="L90" s="3">
        <v>12000</v>
      </c>
      <c r="M90" s="3">
        <f>Table1[[#This Row],[Sales]]-Table1[[#This Row],[Profit]]</f>
        <v>47400</v>
      </c>
      <c r="N90" t="s">
        <v>50</v>
      </c>
      <c r="O90" t="str">
        <f t="shared" si="16"/>
        <v>Gombe</v>
      </c>
      <c r="P90" t="str">
        <f t="shared" si="17"/>
        <v>Isah Musa</v>
      </c>
      <c r="Q90" t="s">
        <v>19</v>
      </c>
    </row>
    <row r="91" spans="1:17" x14ac:dyDescent="0.25">
      <c r="A91" t="s">
        <v>77</v>
      </c>
      <c r="B91" s="10">
        <v>46112</v>
      </c>
      <c r="C91" t="s">
        <v>29</v>
      </c>
      <c r="D91" t="s">
        <v>16</v>
      </c>
      <c r="E91" t="s">
        <v>17</v>
      </c>
      <c r="F91" t="str">
        <f t="shared" si="12"/>
        <v>Coca-Cola</v>
      </c>
      <c r="G91" t="str">
        <f t="shared" si="13"/>
        <v>Soft Drink</v>
      </c>
      <c r="H91">
        <v>43</v>
      </c>
      <c r="I91" s="3">
        <f t="shared" si="14"/>
        <v>470</v>
      </c>
      <c r="J91" s="3">
        <f>Table1[[#This Row],[Quality]]*Table1[[#This Row],[Unit Price]]</f>
        <v>20210</v>
      </c>
      <c r="K91" s="3">
        <f t="shared" si="15"/>
        <v>350</v>
      </c>
      <c r="L91" s="3">
        <v>5600</v>
      </c>
      <c r="M91" s="3">
        <f>Table1[[#This Row],[Sales]]-Table1[[#This Row],[Profit]]</f>
        <v>14610</v>
      </c>
      <c r="N91" t="s">
        <v>50</v>
      </c>
      <c r="O91" t="str">
        <f t="shared" si="16"/>
        <v>Gombe</v>
      </c>
      <c r="P91" t="str">
        <f t="shared" si="17"/>
        <v>Isah Musa</v>
      </c>
      <c r="Q91" t="s">
        <v>52</v>
      </c>
    </row>
    <row r="92" spans="1:17" x14ac:dyDescent="0.25">
      <c r="A92" t="s">
        <v>78</v>
      </c>
      <c r="B92" s="10">
        <v>46113</v>
      </c>
      <c r="C92" t="s">
        <v>26</v>
      </c>
      <c r="D92" t="s">
        <v>37</v>
      </c>
      <c r="E92" t="s">
        <v>44</v>
      </c>
      <c r="F92" t="str">
        <f t="shared" si="12"/>
        <v>7up</v>
      </c>
      <c r="G92" t="str">
        <f t="shared" si="13"/>
        <v>Soft Drink</v>
      </c>
      <c r="H92">
        <v>43</v>
      </c>
      <c r="I92" s="3">
        <f t="shared" si="14"/>
        <v>460</v>
      </c>
      <c r="J92" s="3">
        <f>Table1[[#This Row],[Quality]]*Table1[[#This Row],[Unit Price]]</f>
        <v>19780</v>
      </c>
      <c r="K92" s="3">
        <f t="shared" si="15"/>
        <v>345</v>
      </c>
      <c r="L92" s="3">
        <v>3000</v>
      </c>
      <c r="M92" s="3">
        <f>Table1[[#This Row],[Sales]]-Table1[[#This Row],[Profit]]</f>
        <v>16780</v>
      </c>
      <c r="N92" t="s">
        <v>50</v>
      </c>
      <c r="O92" t="str">
        <f t="shared" si="16"/>
        <v>Gombe</v>
      </c>
      <c r="P92" t="str">
        <f t="shared" si="17"/>
        <v>Isah Musa</v>
      </c>
      <c r="Q92" t="s">
        <v>53</v>
      </c>
    </row>
    <row r="93" spans="1:17" x14ac:dyDescent="0.25">
      <c r="A93" t="s">
        <v>78</v>
      </c>
      <c r="B93" s="10">
        <v>46114</v>
      </c>
      <c r="C93" t="s">
        <v>26</v>
      </c>
      <c r="D93" t="s">
        <v>37</v>
      </c>
      <c r="E93" t="s">
        <v>45</v>
      </c>
      <c r="F93" t="str">
        <f t="shared" si="12"/>
        <v>Coca-Cola</v>
      </c>
      <c r="G93" t="str">
        <f t="shared" si="13"/>
        <v>Soft Drink</v>
      </c>
      <c r="H93">
        <v>76</v>
      </c>
      <c r="I93" s="3">
        <f t="shared" si="14"/>
        <v>500</v>
      </c>
      <c r="J93" s="3">
        <f>Table1[[#This Row],[Quality]]*Table1[[#This Row],[Unit Price]]</f>
        <v>38000</v>
      </c>
      <c r="K93" s="3">
        <f t="shared" si="15"/>
        <v>380</v>
      </c>
      <c r="L93" s="3">
        <v>12000</v>
      </c>
      <c r="M93" s="3">
        <f>Table1[[#This Row],[Sales]]-Table1[[#This Row],[Profit]]</f>
        <v>26000</v>
      </c>
      <c r="N93" t="s">
        <v>50</v>
      </c>
      <c r="O93" t="str">
        <f t="shared" si="16"/>
        <v>Gombe</v>
      </c>
      <c r="P93" t="str">
        <f t="shared" si="17"/>
        <v>Isah Musa</v>
      </c>
      <c r="Q93" t="s">
        <v>19</v>
      </c>
    </row>
    <row r="94" spans="1:17" x14ac:dyDescent="0.25">
      <c r="A94" t="s">
        <v>78</v>
      </c>
      <c r="B94" s="10">
        <v>46115</v>
      </c>
      <c r="C94" t="s">
        <v>26</v>
      </c>
      <c r="D94" t="s">
        <v>37</v>
      </c>
      <c r="E94" t="s">
        <v>40</v>
      </c>
      <c r="F94" t="str">
        <f t="shared" si="12"/>
        <v>Maltina</v>
      </c>
      <c r="G94" t="str">
        <f t="shared" si="13"/>
        <v>Malt Drink</v>
      </c>
      <c r="H94">
        <v>87</v>
      </c>
      <c r="I94" s="3">
        <f t="shared" si="14"/>
        <v>650</v>
      </c>
      <c r="J94" s="3">
        <f>Table1[[#This Row],[Quality]]*Table1[[#This Row],[Unit Price]]</f>
        <v>56550</v>
      </c>
      <c r="K94" s="3">
        <f t="shared" si="15"/>
        <v>500</v>
      </c>
      <c r="L94" s="3">
        <v>15000</v>
      </c>
      <c r="M94" s="3">
        <f>Table1[[#This Row],[Sales]]-Table1[[#This Row],[Profit]]</f>
        <v>41550</v>
      </c>
      <c r="N94" t="s">
        <v>50</v>
      </c>
      <c r="O94" t="str">
        <f t="shared" si="16"/>
        <v>Gombe</v>
      </c>
      <c r="P94" t="str">
        <f t="shared" si="17"/>
        <v>Isah Musa</v>
      </c>
      <c r="Q94" t="s">
        <v>53</v>
      </c>
    </row>
    <row r="95" spans="1:17" x14ac:dyDescent="0.25">
      <c r="A95" t="s">
        <v>78</v>
      </c>
      <c r="B95" s="10">
        <v>46116</v>
      </c>
      <c r="C95" t="s">
        <v>26</v>
      </c>
      <c r="D95" t="s">
        <v>37</v>
      </c>
      <c r="E95" t="s">
        <v>42</v>
      </c>
      <c r="F95" t="str">
        <f t="shared" si="12"/>
        <v>Coca-Cola</v>
      </c>
      <c r="G95" t="str">
        <f t="shared" si="13"/>
        <v>Soft Drink</v>
      </c>
      <c r="H95">
        <v>98</v>
      </c>
      <c r="I95" s="3">
        <f t="shared" si="14"/>
        <v>450</v>
      </c>
      <c r="J95" s="3">
        <f>Table1[[#This Row],[Quality]]*Table1[[#This Row],[Unit Price]]</f>
        <v>44100</v>
      </c>
      <c r="K95" s="3">
        <f t="shared" si="15"/>
        <v>340</v>
      </c>
      <c r="L95" s="3">
        <v>12000</v>
      </c>
      <c r="M95" s="3">
        <f>Table1[[#This Row],[Sales]]-Table1[[#This Row],[Profit]]</f>
        <v>32100</v>
      </c>
      <c r="N95" t="s">
        <v>50</v>
      </c>
      <c r="O95" t="str">
        <f t="shared" si="16"/>
        <v>Gombe</v>
      </c>
      <c r="P95" t="str">
        <f t="shared" si="17"/>
        <v>Isah Musa</v>
      </c>
      <c r="Q95" t="s">
        <v>19</v>
      </c>
    </row>
    <row r="96" spans="1:17" x14ac:dyDescent="0.25">
      <c r="A96" t="s">
        <v>79</v>
      </c>
      <c r="B96" s="10">
        <v>46117</v>
      </c>
      <c r="C96" t="s">
        <v>36</v>
      </c>
      <c r="D96" t="s">
        <v>38</v>
      </c>
      <c r="E96" t="s">
        <v>17</v>
      </c>
      <c r="F96" t="str">
        <f t="shared" si="12"/>
        <v>Coca-Cola</v>
      </c>
      <c r="G96" t="str">
        <f t="shared" si="13"/>
        <v>Soft Drink</v>
      </c>
      <c r="H96">
        <v>55</v>
      </c>
      <c r="I96" s="3">
        <f t="shared" si="14"/>
        <v>470</v>
      </c>
      <c r="J96" s="3">
        <f>Table1[[#This Row],[Quality]]*Table1[[#This Row],[Unit Price]]</f>
        <v>25850</v>
      </c>
      <c r="K96" s="3">
        <f t="shared" si="15"/>
        <v>350</v>
      </c>
      <c r="L96" s="3">
        <v>13000</v>
      </c>
      <c r="M96" s="3">
        <f>Table1[[#This Row],[Sales]]-Table1[[#This Row],[Profit]]</f>
        <v>12850</v>
      </c>
      <c r="N96" t="s">
        <v>50</v>
      </c>
      <c r="O96" t="str">
        <f t="shared" si="16"/>
        <v>Gombe</v>
      </c>
      <c r="P96" t="str">
        <f t="shared" si="17"/>
        <v>Isah Musa</v>
      </c>
      <c r="Q96" t="s">
        <v>52</v>
      </c>
    </row>
    <row r="97" spans="1:17" x14ac:dyDescent="0.25">
      <c r="A97" t="s">
        <v>79</v>
      </c>
      <c r="B97" s="10">
        <v>46118</v>
      </c>
      <c r="C97" t="s">
        <v>36</v>
      </c>
      <c r="D97" t="s">
        <v>38</v>
      </c>
      <c r="E97" t="s">
        <v>17</v>
      </c>
      <c r="F97" t="str">
        <f t="shared" si="12"/>
        <v>Coca-Cola</v>
      </c>
      <c r="G97" t="str">
        <f t="shared" si="13"/>
        <v>Soft Drink</v>
      </c>
      <c r="H97">
        <v>44</v>
      </c>
      <c r="I97" s="3">
        <f t="shared" si="14"/>
        <v>470</v>
      </c>
      <c r="J97" s="3">
        <f>Table1[[#This Row],[Quality]]*Table1[[#This Row],[Unit Price]]</f>
        <v>20680</v>
      </c>
      <c r="K97" s="3">
        <f t="shared" si="15"/>
        <v>350</v>
      </c>
      <c r="L97" s="3">
        <v>7000</v>
      </c>
      <c r="M97" s="3">
        <f>Table1[[#This Row],[Sales]]-Table1[[#This Row],[Profit]]</f>
        <v>13680</v>
      </c>
      <c r="N97" t="s">
        <v>48</v>
      </c>
      <c r="O97" t="str">
        <f t="shared" si="16"/>
        <v>Kano</v>
      </c>
      <c r="P97" t="str">
        <f t="shared" si="17"/>
        <v>Abdullahi Yahaya</v>
      </c>
      <c r="Q97" t="s">
        <v>53</v>
      </c>
    </row>
    <row r="98" spans="1:17" x14ac:dyDescent="0.25">
      <c r="A98" t="s">
        <v>79</v>
      </c>
      <c r="B98" s="10">
        <v>46119</v>
      </c>
      <c r="C98" t="s">
        <v>36</v>
      </c>
      <c r="D98" t="s">
        <v>38</v>
      </c>
      <c r="E98" t="s">
        <v>46</v>
      </c>
      <c r="F98" t="str">
        <f t="shared" ref="F98:F101" si="18">IF(E98="7Up 50cl","7up",IF(E98="Coca-Cola 50cl","Coca-Cola",IF(E98="Fanta Orange","Coca-Cola",IF(E98="Fearless Energy","Fearless",IF(E98="Maltina Can","Maltina",IF(E98="Monster Energy","Monster",IF(E98="Pepsi 50cl","Pepsi",IF(E98="Sprite 50cl","Coca-Cola"))))))))</f>
        <v>Fearless</v>
      </c>
      <c r="G98" t="str">
        <f t="shared" ref="G98:G101" si="19">IF(F98="7up","Soft Drink",IF(F98="Coca-Cola","Soft Drink",IF(F98="Fearless","Energy Drink",IF(F98="Maltina","Malt Drink",IF(F98="Monster","Energy Drink",IF(F98="Pepsi","Soft Drink"))))))</f>
        <v>Energy Drink</v>
      </c>
      <c r="H98">
        <v>32</v>
      </c>
      <c r="I98" s="3">
        <f t="shared" si="14"/>
        <v>700</v>
      </c>
      <c r="J98" s="3">
        <f>Table1[[#This Row],[Quality]]*Table1[[#This Row],[Unit Price]]</f>
        <v>22400</v>
      </c>
      <c r="K98" s="3">
        <f t="shared" si="15"/>
        <v>540</v>
      </c>
      <c r="L98" s="3">
        <v>6000</v>
      </c>
      <c r="M98" s="3">
        <f>Table1[[#This Row],[Sales]]-Table1[[#This Row],[Profit]]</f>
        <v>16400</v>
      </c>
      <c r="N98" t="s">
        <v>49</v>
      </c>
      <c r="O98" t="str">
        <f t="shared" ref="O98:O101" si="20">IF(N98="South South","Port Harcourt",IF(N98="South East","Anambra",IF(N98="North Central","Abuja",IF(N98="North West","Kano",IF(N98="North East","Gombe",IF(N98="South West","Lagos"))))))</f>
        <v>Abuja</v>
      </c>
      <c r="P98" t="str">
        <f t="shared" ref="P98:P101" si="21">IF(O98="Abuja","Micheal John",IF(O98="Anambra","Emmanuel Jonathan",IF(O98="Gombe","Isah Musa",IF(O98="Kano","Abdullahi Yahaya",IF(O98="Lagos","Ayo Kunle",IF(O98="Port Harcourt","Bella Godwin"))))))</f>
        <v>Micheal John</v>
      </c>
      <c r="Q98" t="s">
        <v>52</v>
      </c>
    </row>
    <row r="99" spans="1:17" x14ac:dyDescent="0.25">
      <c r="A99" t="s">
        <v>80</v>
      </c>
      <c r="B99" s="10">
        <v>46120</v>
      </c>
      <c r="C99" t="s">
        <v>26</v>
      </c>
      <c r="D99" t="s">
        <v>38</v>
      </c>
      <c r="E99" t="s">
        <v>43</v>
      </c>
      <c r="F99" t="str">
        <f t="shared" si="18"/>
        <v>Monster</v>
      </c>
      <c r="G99" t="str">
        <f t="shared" si="19"/>
        <v>Energy Drink</v>
      </c>
      <c r="H99">
        <v>67</v>
      </c>
      <c r="I99" s="3">
        <f t="shared" si="14"/>
        <v>900</v>
      </c>
      <c r="J99" s="3">
        <f>Table1[[#This Row],[Quality]]*Table1[[#This Row],[Unit Price]]</f>
        <v>60300</v>
      </c>
      <c r="K99" s="3">
        <f t="shared" si="15"/>
        <v>720</v>
      </c>
      <c r="L99" s="3">
        <v>12000</v>
      </c>
      <c r="M99" s="3">
        <f>Table1[[#This Row],[Sales]]-Table1[[#This Row],[Profit]]</f>
        <v>48300</v>
      </c>
      <c r="N99" t="s">
        <v>51</v>
      </c>
      <c r="O99" t="str">
        <f t="shared" si="20"/>
        <v>Anambra</v>
      </c>
      <c r="P99" t="str">
        <f t="shared" si="21"/>
        <v>Emmanuel Jonathan</v>
      </c>
      <c r="Q99" t="s">
        <v>19</v>
      </c>
    </row>
    <row r="100" spans="1:17" x14ac:dyDescent="0.25">
      <c r="A100" t="s">
        <v>80</v>
      </c>
      <c r="B100" s="10">
        <v>46121</v>
      </c>
      <c r="C100" t="s">
        <v>26</v>
      </c>
      <c r="D100" t="s">
        <v>38</v>
      </c>
      <c r="E100" t="s">
        <v>43</v>
      </c>
      <c r="F100" t="str">
        <f t="shared" si="18"/>
        <v>Monster</v>
      </c>
      <c r="G100" t="str">
        <f t="shared" si="19"/>
        <v>Energy Drink</v>
      </c>
      <c r="H100">
        <v>98</v>
      </c>
      <c r="I100" s="3">
        <f t="shared" si="14"/>
        <v>900</v>
      </c>
      <c r="J100" s="3">
        <f>Table1[[#This Row],[Quality]]*Table1[[#This Row],[Unit Price]]</f>
        <v>88200</v>
      </c>
      <c r="K100" s="3">
        <f t="shared" si="15"/>
        <v>720</v>
      </c>
      <c r="L100" s="3">
        <v>30000</v>
      </c>
      <c r="M100" s="3">
        <f>Table1[[#This Row],[Sales]]-Table1[[#This Row],[Profit]]</f>
        <v>58200</v>
      </c>
      <c r="N100" t="s">
        <v>49</v>
      </c>
      <c r="O100" t="str">
        <f t="shared" si="20"/>
        <v>Abuja</v>
      </c>
      <c r="P100" t="str">
        <f t="shared" si="21"/>
        <v>Micheal John</v>
      </c>
      <c r="Q100" t="s">
        <v>53</v>
      </c>
    </row>
    <row r="101" spans="1:17" x14ac:dyDescent="0.25">
      <c r="A101" t="s">
        <v>80</v>
      </c>
      <c r="B101" s="10">
        <v>46122</v>
      </c>
      <c r="C101" t="s">
        <v>26</v>
      </c>
      <c r="D101" t="s">
        <v>38</v>
      </c>
      <c r="E101" t="s">
        <v>46</v>
      </c>
      <c r="F101" t="str">
        <f t="shared" si="18"/>
        <v>Fearless</v>
      </c>
      <c r="G101" t="str">
        <f t="shared" si="19"/>
        <v>Energy Drink</v>
      </c>
      <c r="H101">
        <v>55</v>
      </c>
      <c r="I101" s="3">
        <f t="shared" si="14"/>
        <v>700</v>
      </c>
      <c r="J101" s="3">
        <f>Table1[[#This Row],[Quality]]*Table1[[#This Row],[Unit Price]]</f>
        <v>38500</v>
      </c>
      <c r="K101" s="3">
        <f t="shared" si="15"/>
        <v>540</v>
      </c>
      <c r="L101" s="3">
        <v>12000</v>
      </c>
      <c r="M101" s="3">
        <f>Table1[[#This Row],[Sales]]-Table1[[#This Row],[Profit]]</f>
        <v>26500</v>
      </c>
      <c r="N101" t="s">
        <v>49</v>
      </c>
      <c r="O101" t="str">
        <f t="shared" si="20"/>
        <v>Abuja</v>
      </c>
      <c r="P101" t="str">
        <f t="shared" si="21"/>
        <v>Micheal John</v>
      </c>
      <c r="Q101" t="s">
        <v>53</v>
      </c>
    </row>
  </sheetData>
  <pageMargins left="0.7" right="0.7" top="0.75" bottom="0.75" header="0.3" footer="0.3"/>
  <pageSetup orientation="portrait"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INFO-TECH</dc:creator>
  <cp:lastModifiedBy>User</cp:lastModifiedBy>
  <dcterms:created xsi:type="dcterms:W3CDTF">2026-05-07T13:31:37Z</dcterms:created>
  <dcterms:modified xsi:type="dcterms:W3CDTF">2026-06-02T02:48:05Z</dcterms:modified>
</cp:coreProperties>
</file>